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d08a404501c533a/Trading System/"/>
    </mc:Choice>
  </mc:AlternateContent>
  <xr:revisionPtr revIDLastSave="409" documentId="13_ncr:1_{B50C25CA-9A9B-4D09-8AC1-4B263D281357}" xr6:coauthVersionLast="47" xr6:coauthVersionMax="47" xr10:uidLastSave="{DEC661F9-1DD3-4432-AA25-7193902930A1}"/>
  <bookViews>
    <workbookView minimized="1" xWindow="3017" yWindow="3017" windowWidth="18514" windowHeight="10740" tabRatio="696" xr2:uid="{F0B71DC5-729B-445A-AC63-6FB005703CCB}"/>
  </bookViews>
  <sheets>
    <sheet name="Cookies And Miscellaneous" sheetId="1" r:id="rId1"/>
    <sheet name="BankNifty" sheetId="7" r:id="rId2"/>
    <sheet name="FIN" sheetId="12" r:id="rId3"/>
    <sheet name="Nifty" sheetId="2" r:id="rId4"/>
    <sheet name="Nifty &amp; BNF" sheetId="8" r:id="rId5"/>
  </sheets>
  <functionGroups builtInGroupCount="19"/>
  <definedNames>
    <definedName name="_xlnm._FilterDatabase" localSheetId="0" hidden="1">'Cookies And Miscellaneous'!$H$18:$I$18</definedName>
    <definedName name="ExternalData_1" localSheetId="2" hidden="1">FIN!$E$5:$I$45</definedName>
    <definedName name="ExternalData_1" localSheetId="3" hidden="1">Nifty!$E$5:$I$45</definedName>
    <definedName name="ExternalData_2" localSheetId="0" hidden="1">'Cookies And Miscellaneous'!$F$13:$F$29</definedName>
    <definedName name="ExternalData_4" localSheetId="0" hidden="1">'Cookies And Miscellaneous'!$K$13:$K$23</definedName>
    <definedName name="ExternalData_5" localSheetId="0" hidden="1">'Cookies And Miscellaneous'!$C$13:$D$14</definedName>
    <definedName name="ExternalData_6" localSheetId="1" hidden="1">BankNifty!$E$5:$I$45</definedName>
    <definedName name="ExternalData_6" localSheetId="0" hidden="1">'Cookies And Miscellaneous'!$C$18:$D$19</definedName>
    <definedName name="ExternalData_7" localSheetId="0" hidden="1">'Cookies And Miscellaneous'!$M$13:$M$17</definedName>
    <definedName name="ExternalData_8" localSheetId="0" hidden="1">'Cookies And Miscellaneous'!$C$23:$D$24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" l="1"/>
  <c r="J7" i="2"/>
  <c r="J8" i="2"/>
  <c r="J9" i="2"/>
  <c r="J10" i="2"/>
  <c r="J11" i="2"/>
  <c r="J12" i="2"/>
  <c r="J13" i="2"/>
  <c r="J14" i="2"/>
  <c r="J15" i="2"/>
  <c r="J16" i="2"/>
  <c r="K16" i="2" s="1"/>
  <c r="J17" i="2"/>
  <c r="J18" i="2"/>
  <c r="J19" i="2"/>
  <c r="J20" i="2"/>
  <c r="J21" i="2"/>
  <c r="K21" i="2" s="1"/>
  <c r="L21" i="2" s="1"/>
  <c r="J22" i="2"/>
  <c r="J23" i="2"/>
  <c r="J24" i="2"/>
  <c r="J25" i="2"/>
  <c r="J26" i="2"/>
  <c r="J27" i="2"/>
  <c r="J28" i="2"/>
  <c r="J29" i="2"/>
  <c r="J30" i="2"/>
  <c r="J31" i="2"/>
  <c r="J32" i="2"/>
  <c r="J33" i="2"/>
  <c r="K33" i="2" s="1"/>
  <c r="J34" i="2"/>
  <c r="J35" i="2"/>
  <c r="J36" i="2"/>
  <c r="J37" i="2"/>
  <c r="J38" i="2"/>
  <c r="J39" i="2"/>
  <c r="J40" i="2"/>
  <c r="J41" i="2"/>
  <c r="J42" i="2"/>
  <c r="J43" i="2"/>
  <c r="J44" i="2"/>
  <c r="J45" i="2"/>
  <c r="K6" i="2"/>
  <c r="K7" i="2"/>
  <c r="K8" i="2"/>
  <c r="K9" i="2"/>
  <c r="K10" i="2"/>
  <c r="K11" i="2"/>
  <c r="K12" i="2"/>
  <c r="K13" i="2"/>
  <c r="K14" i="2"/>
  <c r="K15" i="2"/>
  <c r="K17" i="2"/>
  <c r="K18" i="2"/>
  <c r="K19" i="2"/>
  <c r="K20" i="2"/>
  <c r="K22" i="2"/>
  <c r="K23" i="2"/>
  <c r="K24" i="2"/>
  <c r="K25" i="2"/>
  <c r="K26" i="2"/>
  <c r="K27" i="2"/>
  <c r="K28" i="2"/>
  <c r="K29" i="2"/>
  <c r="K30" i="2"/>
  <c r="K31" i="2"/>
  <c r="K32" i="2"/>
  <c r="K34" i="2"/>
  <c r="K35" i="2"/>
  <c r="K36" i="2"/>
  <c r="K37" i="2"/>
  <c r="K38" i="2"/>
  <c r="K39" i="2"/>
  <c r="K40" i="2"/>
  <c r="K41" i="2"/>
  <c r="K42" i="2"/>
  <c r="K43" i="2"/>
  <c r="K44" i="2"/>
  <c r="K45" i="2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K30" i="7" s="1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K6" i="7"/>
  <c r="K7" i="7"/>
  <c r="K8" i="7"/>
  <c r="K9" i="7"/>
  <c r="K10" i="7"/>
  <c r="L9" i="7" s="1"/>
  <c r="K11" i="7"/>
  <c r="L10" i="7" s="1"/>
  <c r="K12" i="7"/>
  <c r="L31" i="7" s="1"/>
  <c r="K13" i="7"/>
  <c r="L12" i="7" s="1"/>
  <c r="K14" i="7"/>
  <c r="L33" i="7" s="1"/>
  <c r="K15" i="7"/>
  <c r="L34" i="7" s="1"/>
  <c r="K16" i="7"/>
  <c r="L35" i="7" s="1"/>
  <c r="K17" i="7"/>
  <c r="L16" i="7" s="1"/>
  <c r="K18" i="7"/>
  <c r="L37" i="7" s="1"/>
  <c r="K19" i="7"/>
  <c r="L38" i="7" s="1"/>
  <c r="K20" i="7"/>
  <c r="L39" i="7" s="1"/>
  <c r="K21" i="7"/>
  <c r="L40" i="7" s="1"/>
  <c r="K22" i="7"/>
  <c r="L21" i="7" s="1"/>
  <c r="K23" i="7"/>
  <c r="L22" i="7" s="1"/>
  <c r="K24" i="7"/>
  <c r="L43" i="7" s="1"/>
  <c r="K25" i="7"/>
  <c r="L44" i="7" s="1"/>
  <c r="K26" i="7"/>
  <c r="K27" i="7"/>
  <c r="K28" i="7"/>
  <c r="K29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D25" i="1" a="1"/>
  <c r="D25" i="1" s="1"/>
  <c r="C23" i="8"/>
  <c r="B23" i="8"/>
  <c r="D15" i="2"/>
  <c r="L35" i="2" l="1"/>
  <c r="L36" i="2"/>
  <c r="L17" i="2"/>
  <c r="L18" i="2"/>
  <c r="L19" i="2"/>
  <c r="L20" i="2"/>
  <c r="L22" i="2"/>
  <c r="L42" i="2"/>
  <c r="L23" i="2"/>
  <c r="L43" i="2"/>
  <c r="L24" i="2"/>
  <c r="L44" i="2"/>
  <c r="L45" i="2"/>
  <c r="L15" i="2"/>
  <c r="L16" i="2"/>
  <c r="L37" i="2"/>
  <c r="L38" i="2"/>
  <c r="L39" i="2"/>
  <c r="L40" i="2"/>
  <c r="L41" i="2"/>
  <c r="L25" i="2"/>
  <c r="L13" i="2"/>
  <c r="L12" i="2"/>
  <c r="L33" i="2"/>
  <c r="L11" i="2"/>
  <c r="L10" i="2"/>
  <c r="L9" i="2"/>
  <c r="L8" i="2"/>
  <c r="L7" i="2"/>
  <c r="L6" i="2"/>
  <c r="L32" i="2"/>
  <c r="L30" i="2"/>
  <c r="L34" i="2"/>
  <c r="L14" i="2"/>
  <c r="L31" i="2"/>
  <c r="L29" i="2"/>
  <c r="L28" i="2"/>
  <c r="L27" i="2"/>
  <c r="L26" i="2"/>
  <c r="L30" i="7"/>
  <c r="L45" i="7"/>
  <c r="L28" i="7"/>
  <c r="L6" i="7"/>
  <c r="L25" i="7"/>
  <c r="L24" i="7"/>
  <c r="L23" i="7"/>
  <c r="L42" i="7"/>
  <c r="L41" i="7"/>
  <c r="L20" i="7"/>
  <c r="L19" i="7"/>
  <c r="L18" i="7"/>
  <c r="L17" i="7"/>
  <c r="L36" i="7"/>
  <c r="L15" i="7"/>
  <c r="L14" i="7"/>
  <c r="L13" i="7"/>
  <c r="L32" i="7"/>
  <c r="L11" i="7"/>
  <c r="L29" i="7"/>
  <c r="L27" i="7"/>
  <c r="L7" i="7"/>
  <c r="L8" i="7"/>
  <c r="L26" i="7"/>
  <c r="D30" i="2"/>
  <c r="C30" i="2" s="1"/>
  <c r="D31" i="2"/>
  <c r="C31" i="2" s="1"/>
  <c r="D32" i="2"/>
  <c r="C32" i="2" s="1"/>
  <c r="D33" i="2"/>
  <c r="C33" i="2" s="1"/>
  <c r="D34" i="2"/>
  <c r="C34" i="2" s="1"/>
  <c r="D35" i="2"/>
  <c r="C35" i="2" s="1"/>
  <c r="D36" i="2"/>
  <c r="C36" i="2" s="1"/>
  <c r="D37" i="2"/>
  <c r="C37" i="2" s="1"/>
  <c r="D38" i="2"/>
  <c r="C38" i="2" s="1"/>
  <c r="D39" i="2"/>
  <c r="C39" i="2" s="1"/>
  <c r="D40" i="2"/>
  <c r="C40" i="2" s="1"/>
  <c r="D41" i="2"/>
  <c r="C41" i="2" s="1"/>
  <c r="D42" i="2"/>
  <c r="C42" i="2" s="1"/>
  <c r="D43" i="2"/>
  <c r="C43" i="2" s="1"/>
  <c r="D44" i="2"/>
  <c r="C44" i="2" s="1"/>
  <c r="D45" i="2"/>
  <c r="C45" i="2" s="1"/>
  <c r="D36" i="7"/>
  <c r="C36" i="7" s="1"/>
  <c r="D37" i="7"/>
  <c r="C37" i="7" s="1"/>
  <c r="D38" i="7"/>
  <c r="C38" i="7" s="1"/>
  <c r="D39" i="7"/>
  <c r="C39" i="7" s="1"/>
  <c r="D40" i="7"/>
  <c r="C40" i="7" s="1"/>
  <c r="D41" i="7"/>
  <c r="C41" i="7" s="1"/>
  <c r="D42" i="7"/>
  <c r="C42" i="7" s="1"/>
  <c r="D43" i="7"/>
  <c r="C43" i="7" s="1"/>
  <c r="D44" i="7"/>
  <c r="C44" i="7" s="1"/>
  <c r="D45" i="7"/>
  <c r="C45" i="7" s="1"/>
  <c r="C22" i="8"/>
  <c r="B22" i="8"/>
  <c r="M4" i="8" l="1" a="1"/>
  <c r="M4" i="8" s="1"/>
  <c r="H4" i="8" a="1"/>
  <c r="H4" i="8" s="1"/>
  <c r="G3" i="8" a="1"/>
  <c r="L3" i="8" a="1"/>
  <c r="K3" i="8" a="1"/>
  <c r="K3" i="8" s="1"/>
  <c r="F3" i="8" a="1"/>
  <c r="F3" i="8" s="1"/>
  <c r="D15" i="1" a="1"/>
  <c r="D15" i="1" s="1"/>
  <c r="D20" i="1" a="1"/>
  <c r="D20" i="1" s="1"/>
  <c r="L3" i="8" l="1"/>
  <c r="G3" i="8"/>
  <c r="D7" i="7"/>
  <c r="C7" i="7" s="1"/>
  <c r="D8" i="7"/>
  <c r="C8" i="7" s="1"/>
  <c r="D9" i="7"/>
  <c r="C9" i="7" s="1"/>
  <c r="D10" i="7"/>
  <c r="C10" i="7" s="1"/>
  <c r="D11" i="7"/>
  <c r="C11" i="7" s="1"/>
  <c r="D12" i="7"/>
  <c r="C12" i="7" s="1"/>
  <c r="D13" i="7"/>
  <c r="C13" i="7" s="1"/>
  <c r="D14" i="7"/>
  <c r="C14" i="7" s="1"/>
  <c r="D15" i="7"/>
  <c r="C15" i="7" s="1"/>
  <c r="D16" i="7"/>
  <c r="C16" i="7" s="1"/>
  <c r="D17" i="7"/>
  <c r="C17" i="7" s="1"/>
  <c r="D18" i="7"/>
  <c r="C18" i="7" s="1"/>
  <c r="D19" i="7"/>
  <c r="C19" i="7" s="1"/>
  <c r="D20" i="7"/>
  <c r="C20" i="7" s="1"/>
  <c r="D21" i="7"/>
  <c r="C21" i="7" s="1"/>
  <c r="D22" i="7"/>
  <c r="C22" i="7" s="1"/>
  <c r="D23" i="7"/>
  <c r="C23" i="7" s="1"/>
  <c r="D24" i="7"/>
  <c r="C24" i="7" s="1"/>
  <c r="D25" i="7"/>
  <c r="C25" i="7" s="1"/>
  <c r="D26" i="7"/>
  <c r="C26" i="7" s="1"/>
  <c r="D27" i="7"/>
  <c r="C27" i="7" s="1"/>
  <c r="D28" i="7"/>
  <c r="C28" i="7" s="1"/>
  <c r="D29" i="7"/>
  <c r="C29" i="7" s="1"/>
  <c r="D30" i="7"/>
  <c r="C30" i="7" s="1"/>
  <c r="D31" i="7"/>
  <c r="C31" i="7" s="1"/>
  <c r="D32" i="7"/>
  <c r="C32" i="7" s="1"/>
  <c r="D33" i="7"/>
  <c r="C33" i="7" s="1"/>
  <c r="D34" i="7"/>
  <c r="C34" i="7" s="1"/>
  <c r="D35" i="7"/>
  <c r="C35" i="7" s="1"/>
  <c r="D6" i="7"/>
  <c r="C6" i="7" s="1"/>
  <c r="D6" i="2"/>
  <c r="C6" i="2" s="1"/>
  <c r="D8" i="2"/>
  <c r="C8" i="2" s="1"/>
  <c r="D9" i="2"/>
  <c r="C9" i="2" s="1"/>
  <c r="D10" i="2"/>
  <c r="C10" i="2" s="1"/>
  <c r="D11" i="2"/>
  <c r="C11" i="2" s="1"/>
  <c r="D12" i="2"/>
  <c r="C12" i="2" s="1"/>
  <c r="D13" i="2"/>
  <c r="C13" i="2" s="1"/>
  <c r="D14" i="2"/>
  <c r="C14" i="2" s="1"/>
  <c r="C15" i="2"/>
  <c r="D16" i="2"/>
  <c r="C16" i="2" s="1"/>
  <c r="D17" i="2"/>
  <c r="C17" i="2" s="1"/>
  <c r="D18" i="2"/>
  <c r="C18" i="2" s="1"/>
  <c r="D19" i="2"/>
  <c r="C19" i="2" s="1"/>
  <c r="D20" i="2"/>
  <c r="C20" i="2" s="1"/>
  <c r="D21" i="2"/>
  <c r="C21" i="2" s="1"/>
  <c r="D22" i="2"/>
  <c r="C22" i="2" s="1"/>
  <c r="D23" i="2"/>
  <c r="C23" i="2" s="1"/>
  <c r="D24" i="2"/>
  <c r="C24" i="2" s="1"/>
  <c r="D25" i="2"/>
  <c r="C25" i="2" s="1"/>
  <c r="D26" i="2"/>
  <c r="C26" i="2" s="1"/>
  <c r="D27" i="2"/>
  <c r="C27" i="2" s="1"/>
  <c r="D28" i="2"/>
  <c r="C28" i="2" s="1"/>
  <c r="D29" i="2"/>
  <c r="C29" i="2" s="1"/>
  <c r="D7" i="2"/>
  <c r="C7" i="2" s="1"/>
  <c r="B17" i="7" l="1"/>
  <c r="B24" i="7"/>
  <c r="B6" i="7"/>
  <c r="B36" i="7"/>
  <c r="B38" i="7"/>
  <c r="B37" i="7"/>
  <c r="B41" i="7"/>
  <c r="B40" i="7"/>
  <c r="B45" i="7"/>
  <c r="B39" i="7"/>
  <c r="B44" i="7"/>
  <c r="B43" i="7"/>
  <c r="B42" i="7"/>
  <c r="B16" i="7"/>
  <c r="B23" i="7"/>
  <c r="B21" i="7"/>
  <c r="B19" i="7"/>
  <c r="B15" i="7"/>
  <c r="B14" i="7"/>
  <c r="B12" i="7"/>
  <c r="B29" i="7"/>
  <c r="B13" i="7"/>
  <c r="B31" i="7"/>
  <c r="B26" i="7"/>
  <c r="B22" i="7"/>
  <c r="B20" i="7"/>
  <c r="B18" i="7"/>
  <c r="B35" i="7"/>
  <c r="B34" i="7"/>
  <c r="B33" i="7"/>
  <c r="B32" i="7"/>
  <c r="B11" i="7"/>
  <c r="B30" i="7"/>
  <c r="B10" i="7"/>
  <c r="B9" i="7"/>
  <c r="B28" i="7"/>
  <c r="B8" i="7"/>
  <c r="B27" i="7"/>
  <c r="B7" i="7"/>
  <c r="B25" i="7"/>
  <c r="B14" i="2"/>
  <c r="B13" i="2"/>
  <c r="B11" i="2"/>
  <c r="B10" i="2"/>
  <c r="B24" i="2"/>
  <c r="B22" i="2"/>
  <c r="B20" i="2"/>
  <c r="B17" i="2"/>
  <c r="B12" i="2"/>
  <c r="B7" i="2"/>
  <c r="B9" i="2"/>
  <c r="B8" i="2"/>
  <c r="B6" i="2"/>
  <c r="B23" i="2"/>
  <c r="B21" i="2"/>
  <c r="B19" i="2"/>
  <c r="B18" i="2"/>
  <c r="B16" i="2"/>
  <c r="B15" i="2"/>
  <c r="B29" i="2"/>
  <c r="B28" i="2"/>
  <c r="B27" i="2"/>
  <c r="B35" i="2"/>
  <c r="B34" i="2"/>
  <c r="B33" i="2"/>
  <c r="B32" i="2"/>
  <c r="B31" i="2"/>
  <c r="B30" i="2"/>
  <c r="B45" i="2"/>
  <c r="B44" i="2"/>
  <c r="B43" i="2"/>
  <c r="B42" i="2"/>
  <c r="B41" i="2"/>
  <c r="B40" i="2"/>
  <c r="B39" i="2"/>
  <c r="B38" i="2"/>
  <c r="B37" i="2"/>
  <c r="B36" i="2"/>
  <c r="B26" i="2"/>
  <c r="B25" i="2"/>
  <c r="B21" i="8"/>
  <c r="J3" i="8" a="1"/>
  <c r="E3" i="8" a="1"/>
  <c r="C21" i="8"/>
  <c r="I4" i="8" l="1" a="1"/>
  <c r="I4" i="8" s="1"/>
  <c r="D4" i="8" a="1"/>
  <c r="D4" i="8" s="1"/>
  <c r="J3" i="8"/>
  <c r="E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2C62BC-8C48-4D42-94D3-249A628EA2A7}" keepAlive="1" interval="60" name="Query - BANKNIFTY Expiry" description="Connection to the 'BANKNIFTY Expiry' query in the workbook." type="5" refreshedVersion="8" background="1" saveData="1">
    <dbPr connection="Provider=Microsoft.Mashup.OleDb.1;Data Source=$Workbook$;Location=&quot;BANKNIFTY Expiry&quot;;Extended Properties=&quot;&quot;" command="SELECT * FROM [BANKNIFTY Expiry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A5BC4593-7CAF-4BBA-A18B-86D30FFEE037}" keepAlive="1" interval="1" name="Query - BANKNIFTY Option" description="Connection to the 'BANKNIFTY Option' query in the workbook." type="5" refreshedVersion="8" background="1" saveData="1">
    <dbPr connection="Provider=Microsoft.Mashup.OleDb.1;Data Source=$Workbook$;Location=&quot;BANKNIFTY Option&quot;;Extended Properties=&quot;&quot;" command="SELECT * FROM [BANKNIFTY Optio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42A48870-5355-40CB-8909-517EBD9281C7}" keepAlive="1" interval="1" name="Query - BANKNIFTY Price" description="Connection to the 'BANKNIFTY Price' query in the workbook." type="5" refreshedVersion="8" background="1" saveData="1">
    <dbPr connection="Provider=Microsoft.Mashup.OleDb.1;Data Source=$Workbook$;Location=&quot;BANKNIFTY Price&quot;;Extended Properties=&quot;&quot;" command="SELECT * FROM [BANKNIFTY Price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2F409D0D-FBB3-4EBF-BE38-96951A170936}" keepAlive="1" name="Query - Fin Nifty Expiry" description="Connection to the 'Fin Nifty Expiry' query in the workbook." type="5" refreshedVersion="8" background="1" saveData="1">
    <dbPr connection="Provider=Microsoft.Mashup.OleDb.1;Data Source=$Workbook$;Location=&quot;Fin Nifty Expiry&quot;;Extended Properties=&quot;&quot;" command="SELECT * FROM [Fin Nifty Expiry]"/>
  </connection>
  <connection id="5" xr16:uid="{1BAC80FD-3821-45F7-9FC1-A832ED633015}" keepAlive="1" name="Query - Fin Nifty Option" description="Connection to the 'Fin Nifty Option' query in the workbook." type="5" refreshedVersion="8" background="1" saveData="1">
    <dbPr connection="Provider=Microsoft.Mashup.OleDb.1;Data Source=$Workbook$;Location=&quot;Fin Nifty Option&quot;;Extended Properties=&quot;&quot;" command="SELECT * FROM [Fin Nifty Option]"/>
  </connection>
  <connection id="6" xr16:uid="{D86FED78-E3B1-4677-8AD0-1AC642F2BDB5}" keepAlive="1" name="Query - Fin Nifty Price" description="Connection to the 'Fin Nifty Price' query in the workbook." type="5" refreshedVersion="8" background="1" saveData="1">
    <dbPr connection="Provider=Microsoft.Mashup.OleDb.1;Data Source=$Workbook$;Location=&quot;Fin Nifty Price&quot;;Extended Properties=&quot;&quot;" command="SELECT * FROM [Fin Nifty Price]"/>
  </connection>
  <connection id="7" xr16:uid="{3F24D26C-B65A-427C-8A68-52B9DA5C44FF}" keepAlive="1" interval="60" name="Query - NIFTY Expiry" description="Connection to the 'NIFTY Expiry' query in the workbook." type="5" refreshedVersion="8" background="1" saveData="1">
    <dbPr connection="Provider=Microsoft.Mashup.OleDb.1;Data Source=$Workbook$;Location=&quot;NIFTY Expiry&quot;;Extended Properties=&quot;&quot;" command="SELECT * FROM [NIFTY Expir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533D1598-D934-4E47-98E4-3A956BB05AFB}" keepAlive="1" interval="1" name="Query - NIFTY Option" description="Connection to the 'NIFTY Option' query in the workbook." type="5" refreshedVersion="8" background="1" saveData="1">
    <dbPr connection="Provider=Microsoft.Mashup.OleDb.1;Data Source=$Workbook$;Location=&quot;NIFTY Option&quot;;Extended Properties=&quot;&quot;" command="SELECT * FROM [NIFTY Option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3DCBF0B8-B82B-4CE8-89F3-F8CFC344A981}" keepAlive="1" interval="1" name="Query - NIFTY Price" description="Connection to the 'NIFTY Price' query in the workbook." type="5" refreshedVersion="8" background="1" saveData="1">
    <dbPr connection="Provider=Microsoft.Mashup.OleDb.1;Data Source=$Workbook$;Location=&quot;NIFTY Price&quot;;Extended Properties=&quot;&quot;" command="SELECT * FROM [NIFTY Price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<sst xmlns="http://schemas.openxmlformats.org/spreadsheetml/2006/main" count="92" uniqueCount="61">
  <si>
    <t>Cookie</t>
  </si>
  <si>
    <t>PE OI</t>
  </si>
  <si>
    <t>PE VOL</t>
  </si>
  <si>
    <t>Strikes</t>
  </si>
  <si>
    <t>CE VOL</t>
  </si>
  <si>
    <t>CE OI</t>
  </si>
  <si>
    <t>Time Stamp</t>
  </si>
  <si>
    <t>Expiry</t>
  </si>
  <si>
    <t>26-Dec-2024</t>
  </si>
  <si>
    <t>26-Jun-2025</t>
  </si>
  <si>
    <t>24-Dec-2025</t>
  </si>
  <si>
    <t>25-Jun-2026</t>
  </si>
  <si>
    <t>31-Dec-2026</t>
  </si>
  <si>
    <t>No. Of Strikes</t>
  </si>
  <si>
    <t>Nifty Price</t>
  </si>
  <si>
    <t>Bank Nifty Price</t>
  </si>
  <si>
    <t>BNF Expiry</t>
  </si>
  <si>
    <t>VOL%</t>
  </si>
  <si>
    <t>VOL %</t>
  </si>
  <si>
    <t>NIFTY</t>
  </si>
  <si>
    <t>BANK NIFTY</t>
  </si>
  <si>
    <t>PE</t>
  </si>
  <si>
    <t>CE</t>
  </si>
  <si>
    <t>OI</t>
  </si>
  <si>
    <t>24-Jun-2027</t>
  </si>
  <si>
    <t>Vol 2</t>
  </si>
  <si>
    <t>Vol 1</t>
  </si>
  <si>
    <t>Nifty</t>
  </si>
  <si>
    <t>BNF</t>
  </si>
  <si>
    <t>OI (%)</t>
  </si>
  <si>
    <t>OI %</t>
  </si>
  <si>
    <t>Oi above 50</t>
  </si>
  <si>
    <t>30-Dec-2027</t>
  </si>
  <si>
    <t>28-Dec-2028</t>
  </si>
  <si>
    <t>FIN Expiry</t>
  </si>
  <si>
    <t xml:space="preserve">Fin </t>
  </si>
  <si>
    <t xml:space="preserve">Bank </t>
  </si>
  <si>
    <t>Fin Nifty Price</t>
  </si>
  <si>
    <t>26-Jun-2024</t>
  </si>
  <si>
    <t>25-Sep-2024</t>
  </si>
  <si>
    <t>24-Dec-2024</t>
  </si>
  <si>
    <t>16-Jul-2024</t>
  </si>
  <si>
    <t>27-Mar-2025</t>
  </si>
  <si>
    <t>03-Jul-2024</t>
  </si>
  <si>
    <t>10-Jul-2024</t>
  </si>
  <si>
    <t>24-Jul-2024</t>
  </si>
  <si>
    <t>31-Jul-2024</t>
  </si>
  <si>
    <t>28-Aug-2024</t>
  </si>
  <si>
    <t>26-Mar-2025</t>
  </si>
  <si>
    <t>19-Nov-2024</t>
  </si>
  <si>
    <t>26-Nov-2024</t>
  </si>
  <si>
    <t>31-Dec-2024</t>
  </si>
  <si>
    <t>14-Nov-2024</t>
  </si>
  <si>
    <t>21-Nov-2024</t>
  </si>
  <si>
    <t>28-Nov-2024</t>
  </si>
  <si>
    <t>05-Dec-2024</t>
  </si>
  <si>
    <t>12-Dec-2024</t>
  </si>
  <si>
    <t>30-Jan-2025</t>
  </si>
  <si>
    <t>25-Sep-2025</t>
  </si>
  <si>
    <t>28-Jan-2025</t>
  </si>
  <si>
    <t>nsit=0fiEakUbQl64BZOap00Siq4_; nseappid=eyJhbGciOiJIUzI1NiIsInR5cCI6IkpXVCJ9.eyJpc3MiOiJhcGkubnNlIiwiYXVkIjoiYXBpLm5zZSIsImlhdCI6MTczMTYzMzEyOCwiZXhwIjoxNzMxNjQwMzI4fQ.DdyIYWE31db7yzhh30sr8Ry8LlEtQfJvnCaeO05CYUg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</si>
</sst>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 #\.00,\ "/>
    <numFmt numFmtId="165" formatCode="0.0%"/>
    <numFmt numFmtId="166" formatCode="_ [$₹-44D]\ * #,##0.00_ ;_ [$₹-44D]\ * \-#,##0.00_ ;_ [$₹-44D]\ * &quot;-&quot;??_ ;_ @_ 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14" fontId="0" fillId="0" borderId="0" xfId="0" applyNumberFormat="1"/>
    <xf numFmtId="22" fontId="0" fillId="0" borderId="0" xfId="0" applyNumberFormat="1"/>
    <xf numFmtId="0" fontId="0" fillId="0" borderId="1" xfId="0" applyBorder="1" applyAlignment="1">
      <alignment horizontal="fill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4" borderId="0" xfId="0" applyNumberFormat="1" applyFill="1"/>
    <xf numFmtId="164" fontId="0" fillId="5" borderId="0" xfId="0" applyNumberFormat="1" applyFill="1"/>
    <xf numFmtId="0" fontId="6" fillId="3" borderId="0" xfId="0" applyFont="1" applyFill="1"/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/>
    <xf numFmtId="165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166" fontId="0" fillId="0" borderId="0" xfId="0" applyNumberFormat="1"/>
    <xf numFmtId="10" fontId="0" fillId="0" borderId="0" xfId="0" applyNumberFormat="1"/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9" fontId="0" fillId="0" borderId="0" xfId="0" applyNumberFormat="1" applyAlignment="1">
      <alignment horizontal="left"/>
    </xf>
    <xf numFmtId="9" fontId="0" fillId="0" borderId="0" xfId="0" applyNumberFormat="1" applyAlignment="1">
      <alignment horizontal="left" vertical="center"/>
    </xf>
    <xf numFmtId="0" fontId="11" fillId="3" borderId="0" xfId="0" applyFont="1" applyFill="1"/>
    <xf numFmtId="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2" fillId="11" borderId="0" xfId="0" applyFont="1" applyFill="1" applyAlignment="1">
      <alignment horizontal="center" vertical="center"/>
    </xf>
    <xf numFmtId="164" fontId="1" fillId="11" borderId="2" xfId="0" applyNumberFormat="1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64" fontId="1" fillId="3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center"/>
    </xf>
    <xf numFmtId="0" fontId="0" fillId="13" borderId="0" xfId="0" applyFill="1"/>
    <xf numFmtId="0" fontId="0" fillId="14" borderId="0" xfId="0" applyFill="1"/>
    <xf numFmtId="0" fontId="15" fillId="13" borderId="0" xfId="0" applyFont="1" applyFill="1"/>
    <xf numFmtId="0" fontId="14" fillId="14" borderId="0" xfId="0" applyFont="1" applyFill="1"/>
    <xf numFmtId="0" fontId="16" fillId="3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90">
    <dxf>
      <numFmt numFmtId="13" formatCode="0%"/>
      <alignment horizontal="left" vertical="center" textRotation="0" wrapText="0" indent="0" justifyLastLine="0" shrinkToFit="0" readingOrder="0"/>
    </dxf>
    <dxf>
      <numFmt numFmtId="164" formatCode="\ #\.00,\ "/>
      <alignment horizontal="center" vertical="center" textRotation="0" wrapText="0" indent="0" justifyLastLine="0" shrinkToFit="0" readingOrder="0"/>
    </dxf>
    <dxf>
      <numFmt numFmtId="165" formatCode="0.0%"/>
      <alignment horizontal="center" vertical="center" textRotation="0" wrapText="0" indent="0" justifyLastLine="0" shrinkToFit="0" readingOrder="0"/>
    </dxf>
    <dxf>
      <numFmt numFmtId="164" formatCode="\ #\.00,\ "/>
      <fill>
        <patternFill patternType="solid">
          <fgColor indexed="64"/>
          <bgColor theme="5" tint="0.79998168889431442"/>
        </patternFill>
      </fill>
    </dxf>
    <dxf>
      <numFmt numFmtId="164" formatCode="\ #\.00,\ 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64" formatCode="\ #\.00,\ "/>
      <fill>
        <patternFill patternType="solid">
          <fgColor indexed="64"/>
          <bgColor theme="9" tint="0.79998168889431442"/>
        </patternFill>
      </fill>
    </dxf>
    <dxf>
      <numFmt numFmtId="164" formatCode="\ #\.00,\ "/>
      <fill>
        <patternFill patternType="solid">
          <fgColor indexed="64"/>
          <bgColor theme="9" tint="0.79998168889431442"/>
        </patternFill>
      </fill>
    </dxf>
    <dxf>
      <numFmt numFmtId="13" formatCode="0%"/>
      <alignment horizontal="left" vertical="bottom" textRotation="0" wrapText="0" indent="0" justifyLastLine="0" shrinkToFit="0" readingOrder="0"/>
    </dxf>
    <dxf>
      <numFmt numFmtId="165" formatCode="0.0%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numFmt numFmtId="164" formatCode="\ #\.00,\ "/>
      <fill>
        <patternFill patternType="solid">
          <fgColor indexed="64"/>
          <bgColor theme="5" tint="0.79998168889431442"/>
        </patternFill>
      </fill>
    </dxf>
    <dxf>
      <numFmt numFmtId="164" formatCode="\ #\.00,\ 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64" formatCode="\ #\.00,\ "/>
      <fill>
        <patternFill patternType="solid">
          <fgColor indexed="64"/>
          <bgColor theme="9" tint="0.79998168889431442"/>
        </patternFill>
      </fill>
    </dxf>
    <dxf>
      <numFmt numFmtId="164" formatCode="\ #\.00,\ "/>
      <fill>
        <patternFill patternType="solid">
          <fgColor indexed="64"/>
          <bgColor theme="9" tint="0.79998168889431442"/>
        </patternFill>
      </fill>
    </dxf>
    <dxf>
      <numFmt numFmtId="27" formatCode="m/d/yyyy\ h:mm"/>
    </dxf>
    <dxf>
      <numFmt numFmtId="27" formatCode="m/d/yyyy\ h:mm"/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numFmt numFmtId="27" formatCode="m/d/yyyy\ h:mm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u/>
        <color rgb="FF61D20C"/>
      </font>
      <border>
        <left/>
        <right/>
        <top/>
        <bottom/>
      </border>
    </dxf>
    <dxf>
      <font>
        <b/>
        <i val="0"/>
        <u/>
        <color rgb="FF61D20C"/>
      </font>
      <border>
        <left/>
        <right/>
        <top/>
        <bottom/>
      </border>
    </dxf>
    <dxf>
      <font>
        <b/>
        <i val="0"/>
        <u val="double"/>
        <color rgb="FFEF8943"/>
      </font>
    </dxf>
    <dxf>
      <font>
        <b/>
        <i/>
        <color theme="1"/>
      </font>
    </dxf>
    <dxf>
      <font>
        <b/>
        <i val="0"/>
        <u/>
        <color rgb="FF61D20C"/>
      </font>
      <border>
        <left/>
        <right/>
        <top/>
        <bottom/>
      </border>
    </dxf>
    <dxf>
      <font>
        <b/>
        <i val="0"/>
        <u val="double"/>
        <color rgb="FFEF8943"/>
      </font>
    </dxf>
    <dxf>
      <font>
        <b/>
        <i/>
        <color theme="1"/>
      </font>
    </dxf>
    <dxf>
      <font>
        <b/>
        <i val="0"/>
        <u val="double"/>
        <color rgb="FFEF8943"/>
      </font>
    </dxf>
    <dxf>
      <font>
        <b/>
        <i/>
        <color theme="1"/>
      </font>
    </dxf>
    <dxf>
      <font>
        <b/>
        <i val="0"/>
        <u/>
        <color rgb="FF61D20C"/>
      </font>
      <border>
        <left/>
        <right/>
        <top/>
        <bottom/>
      </border>
    </dxf>
    <dxf>
      <font>
        <b/>
        <i val="0"/>
        <u val="double"/>
        <color rgb="FFEF8943"/>
      </font>
    </dxf>
    <dxf>
      <font>
        <b/>
        <i/>
        <strike val="0"/>
        <u val="none"/>
        <color theme="1"/>
      </font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 val="0"/>
        <i val="0"/>
        <color rgb="FFFF0000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 val="0"/>
        <i val="0"/>
        <color rgb="FFFF0000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 val="0"/>
        <i val="0"/>
        <color rgb="FFFF0000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 val="0"/>
        <i val="0"/>
        <color rgb="FFFF0000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rgb="FFFF0000"/>
      </font>
      <fill>
        <patternFill patternType="solid">
          <fgColor auto="1"/>
          <bgColor theme="0"/>
        </pattern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 val="0"/>
        <i val="0"/>
        <color rgb="FFFF0000"/>
      </font>
      <fill>
        <patternFill patternType="solid">
          <fgColor auto="1"/>
          <bgColor theme="0"/>
        </pattern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rgb="FFFF0000"/>
      </font>
      <fill>
        <patternFill patternType="solid">
          <fgColor auto="1"/>
          <bgColor theme="0"/>
        </pattern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 val="0"/>
        <i val="0"/>
        <color rgb="FFFF0000"/>
      </font>
      <fill>
        <patternFill patternType="solid">
          <fgColor auto="1"/>
          <bgColor theme="0"/>
        </patternFill>
      </fill>
    </dxf>
    <dxf>
      <font>
        <b/>
        <i val="0"/>
        <color rgb="FF007434"/>
      </font>
      <fill>
        <patternFill patternType="solid">
          <fgColor auto="1"/>
          <bgColor rgb="FF9BFFC8"/>
        </patternFill>
      </fill>
      <border>
        <left/>
        <right/>
        <top/>
        <bottom/>
      </border>
    </dxf>
    <dxf>
      <font>
        <b/>
        <i val="0"/>
        <color theme="5"/>
      </font>
      <fill>
        <patternFill patternType="solid">
          <fgColor auto="1"/>
          <bgColor rgb="FFE2EFDA"/>
        </pattern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2"/>
          </stop>
        </gradientFill>
      </fill>
    </dxf>
    <dxf>
      <font>
        <b/>
        <i val="0"/>
        <color rgb="FF007434"/>
      </font>
      <fill>
        <patternFill>
          <bgColor rgb="FF9BFFC8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fill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fil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6DD0D"/>
      <color rgb="FFEF8943"/>
      <color rgb="FF61D20C"/>
      <color rgb="FFEB70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10886</xdr:colOff>
          <xdr:row>4</xdr:row>
          <xdr:rowOff>27214</xdr:rowOff>
        </xdr:from>
        <xdr:to>
          <xdr:col>8</xdr:col>
          <xdr:colOff>21771</xdr:colOff>
          <xdr:row>6</xdr:row>
          <xdr:rowOff>136071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Refresh Cookie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255814</xdr:colOff>
          <xdr:row>0</xdr:row>
          <xdr:rowOff>136071</xdr:rowOff>
        </xdr:from>
        <xdr:to>
          <xdr:col>7</xdr:col>
          <xdr:colOff>440871</xdr:colOff>
          <xdr:row>2</xdr:row>
          <xdr:rowOff>136071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Stop Auto Refresh Cookie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B9D5FF28-0AA8-403A-808E-36B631F3F307}" autoFormatId="16" applyNumberFormats="0" applyBorderFormats="0" applyFontFormats="0" applyPatternFormats="0" applyAlignmentFormats="0" applyWidthHeightFormats="0">
  <queryTableRefresh nextId="2">
    <queryTableFields count="1">
      <queryTableField id="1" name="Expiry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61CC79E4-4919-4FAE-991F-71BE51A1E086}" autoFormatId="16" applyNumberFormats="0" applyBorderFormats="0" applyFontFormats="0" applyPatternFormats="0" applyAlignmentFormats="0" applyWidthHeightFormats="0">
  <queryTableRefresh nextId="2">
    <queryTableFields count="1">
      <queryTableField id="1" name="Expiry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C937CA2B-9FFC-4332-BBB8-80EAC98695E1}" autoFormatId="16" applyNumberFormats="0" applyBorderFormats="0" applyFontFormats="0" applyPatternFormats="0" applyAlignmentFormats="0" applyWidthHeightFormats="0">
  <queryTableRefresh nextId="3">
    <queryTableFields count="2">
      <queryTableField id="1" name="Time Stamp" tableColumnId="1"/>
      <queryTableField id="2" name="Nifty Pric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7CF95CD8-2FF4-4165-AA37-0C3D6670E8D5}" autoFormatId="16" applyNumberFormats="0" applyBorderFormats="0" applyFontFormats="0" applyPatternFormats="0" applyAlignmentFormats="0" applyWidthHeightFormats="0">
  <queryTableRefresh nextId="3">
    <queryTableFields count="2">
      <queryTableField id="1" name="Time Stamp" tableColumnId="1"/>
      <queryTableField id="2" name="Bank Nifty Pric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" xr16:uid="{9FF9532B-1CD5-4771-BF15-54778C7C4C5B}" autoFormatId="16" applyNumberFormats="0" applyBorderFormats="0" applyFontFormats="0" applyPatternFormats="0" applyAlignmentFormats="0" applyWidthHeightFormats="0">
  <queryTableRefresh nextId="2">
    <queryTableFields count="1">
      <queryTableField id="1" name="Expiry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6" xr16:uid="{E1FA5854-9581-4F43-9276-B94316FBA3BA}" autoFormatId="16" applyNumberFormats="0" applyBorderFormats="0" applyFontFormats="0" applyPatternFormats="0" applyAlignmentFormats="0" applyWidthHeightFormats="0">
  <queryTableRefresh nextId="3">
    <queryTableFields count="2">
      <queryTableField id="1" name="Time Stamp" tableColumnId="1"/>
      <queryTableField id="2" name="Fin Nifty Pric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" xr16:uid="{199CCE4A-E2BE-404D-9F39-8E00276011C7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PE OI" tableColumnId="1"/>
      <queryTableField id="2" name="PE VOL" tableColumnId="2"/>
      <queryTableField id="3" name="Strikes" tableColumnId="3"/>
      <queryTableField id="4" name="CE VOL" tableColumnId="4"/>
      <queryTableField id="5" name="CE OI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DBF7517-A2CF-4ACF-B70F-4AA4D6CC88B8}" autoFormatId="16" applyNumberFormats="0" applyBorderFormats="0" applyFontFormats="0" applyPatternFormats="0" applyAlignmentFormats="0" applyWidthHeightFormats="0">
  <queryTableRefresh nextId="6">
    <queryTableFields count="5">
      <queryTableField id="1" name="PE OI" tableColumnId="1"/>
      <queryTableField id="2" name="PE VOL" tableColumnId="2"/>
      <queryTableField id="3" name="Strikes" tableColumnId="3"/>
      <queryTableField id="4" name="CE VOL" tableColumnId="4"/>
      <queryTableField id="5" name="CE OI" tableColumnId="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2227858-117C-4830-B2C2-605C6CF01FE3}" autoFormatId="16" applyNumberFormats="0" applyBorderFormats="0" applyFontFormats="0" applyPatternFormats="0" applyAlignmentFormats="0" applyWidthHeightFormats="0">
  <queryTableRefresh nextId="12" unboundColumnsRight="3">
    <queryTableFields count="8">
      <queryTableField id="2" name="PE OI" tableColumnId="2"/>
      <queryTableField id="3" name="PE VOL" tableColumnId="3"/>
      <queryTableField id="4" name="Strikes" tableColumnId="4"/>
      <queryTableField id="5" name="CE VOL" tableColumnId="5"/>
      <queryTableField id="6" name="CE OI" tableColumnId="6"/>
      <queryTableField id="8" dataBound="0" tableColumnId="1"/>
      <queryTableField id="10" dataBound="0" tableColumnId="7"/>
      <queryTableField id="11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605882-F586-4EBA-A35D-31C29A568604}" name="NIFTY_Expiry" displayName="NIFTY_Expiry" ref="F13:F29" tableType="queryTable" totalsRowShown="0">
  <tableColumns count="1">
    <tableColumn id="1" xr3:uid="{D33180F2-E9AD-433B-95D0-0A7B39C5F03A}" uniqueName="1" name="Expiry" queryTableFieldId="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D80D05F-C99A-49D5-B38F-DFC76134FCF7}" name="Expiry_Table" displayName="Expiry_Table" ref="H13:I14" totalsRowShown="0" headerRowDxfId="89">
  <tableColumns count="2">
    <tableColumn id="1" xr3:uid="{C4C2305B-1F80-4E92-965A-8A9EFF7FE7CA}" name="Expiry"/>
    <tableColumn id="2" xr3:uid="{1F3A6A06-2D88-49D2-B4AC-0531F97F4087}" name="No. Of Strikes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CE80971-4859-4FF8-976A-F45F23DB8635}" name="Cookie_Table" displayName="Cookie_Table" ref="C3:C4" totalsRowShown="0" headerRowDxfId="88" dataDxfId="87">
  <tableColumns count="1">
    <tableColumn id="1" xr3:uid="{F3ABC01D-4808-4866-B70A-676D35F433CB}" name="Cookie" dataDxfId="86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AAE3BE-B5FD-499F-B0F4-6466DA861CDD}" name="BANKNIFTY_Expiry" displayName="BANKNIFTY_Expiry" ref="K13:K23" tableType="queryTable" totalsRowShown="0">
  <tableColumns count="1">
    <tableColumn id="1" xr3:uid="{C0088880-29B2-4C5F-A2B8-679948BEAFC7}" uniqueName="1" name="Expiry" queryTableFieldId="1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D6FCD93-F6B7-41CF-B558-1808D965F170}" name="BNF_Expiry" displayName="BNF_Expiry" ref="H18:I19" totalsRowShown="0" headerRowDxfId="85">
  <tableColumns count="2">
    <tableColumn id="1" xr3:uid="{A4D8FEC6-7A95-4450-A1A8-931F593FC401}" name="BNF Expiry"/>
    <tableColumn id="2" xr3:uid="{509A85B7-7FC4-445D-9271-44C873375917}" name="No. Of Strike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CF646B-4DC7-446F-9EBA-05BE73068DE1}" name="Nifty_Price" displayName="Nifty_Price" ref="C13:D14" tableType="queryTable" totalsRowShown="0">
  <tableColumns count="2">
    <tableColumn id="1" xr3:uid="{59B11FF2-D8EA-4B19-88BD-2FD9CC3C5F9A}" uniqueName="1" name="Time Stamp" queryTableFieldId="1" dataDxfId="15"/>
    <tableColumn id="2" xr3:uid="{3E0ADEAB-D804-4E6C-AE77-1A11F5B91A77}" uniqueName="2" name="Nifty Price" queryTableFieldId="2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279A12-8E17-43A9-83B8-19355BD2FCCC}" name="BANKNIFTY_Price" displayName="BANKNIFTY_Price" ref="C18:D19" tableType="queryTable" totalsRowShown="0">
  <tableColumns count="2">
    <tableColumn id="1" xr3:uid="{7EFAD2A3-4F0F-4681-B083-00E5562F4014}" uniqueName="1" name="Time Stamp" queryTableFieldId="1" dataDxfId="16"/>
    <tableColumn id="2" xr3:uid="{5C026834-0730-4417-B176-2407EE3037D8}" uniqueName="2" name="Bank Nifty Price" queryTableFieldId="2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9E0079-8641-4E91-A7D8-2CF5327AAB64}" name="Fin_Expiry" displayName="Fin_Expiry" ref="H22:I23" totalsRowShown="0" headerRowDxfId="84">
  <tableColumns count="2">
    <tableColumn id="1" xr3:uid="{6C8F7C09-D103-4552-BF30-40D9BFA3B68A}" name="FIN Expiry"/>
    <tableColumn id="2" xr3:uid="{F899CB7B-E205-4052-A622-93F48D68C085}" name="No. Of Strikes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F058C5-BBA6-4B4F-BB11-A48112AD41EF}" name="Fin_Nifty_Expiry" displayName="Fin_Nifty_Expiry" ref="M13:M17" tableType="queryTable" totalsRowShown="0">
  <tableColumns count="1">
    <tableColumn id="1" xr3:uid="{8BE04C68-3C03-4E45-8EB9-09CA5F393175}" uniqueName="1" name="Expiry" queryTableFieldId="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B32BCC6-47A9-4585-9248-B5880FD03947}" name="Fin_Nifty_Price" displayName="Fin_Nifty_Price" ref="C23:D24" tableType="queryTable" totalsRowShown="0">
  <tableColumns count="2">
    <tableColumn id="1" xr3:uid="{4CC7EE0D-7362-4CCD-A485-08E1B690EBD3}" uniqueName="1" name="Time Stamp" queryTableFieldId="1" dataDxfId="22"/>
    <tableColumn id="2" xr3:uid="{8FA2513E-7EFB-4D01-BE7F-5686ADD3A5DA}" uniqueName="2" name="Fin Nifty Price" queryTableFieldId="2"/>
  </tableColumns>
  <tableStyleInfo name="TableStyleLight1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0C7377-9AE1-4BF6-8487-C956F9C3A59C}" name="BANKNIFTY_Option" displayName="BANKNIFTY_Option" ref="E5:L45" tableType="queryTable" totalsRowShown="0" headerRowDxfId="83">
  <tableColumns count="8">
    <tableColumn id="1" xr3:uid="{3B06C3FF-B802-4005-B1CB-53DD66D8DABE}" uniqueName="1" name="PE OI" queryTableFieldId="1" dataDxfId="14"/>
    <tableColumn id="2" xr3:uid="{DB510C02-9266-4AF9-9749-123C3BDB7F71}" uniqueName="2" name="PE VOL" queryTableFieldId="2" dataDxfId="13"/>
    <tableColumn id="3" xr3:uid="{C2D1BA72-8DE6-441E-BDE4-7DD600553E07}" uniqueName="3" name="Strikes" queryTableFieldId="3" dataDxfId="12"/>
    <tableColumn id="4" xr3:uid="{EC62ABCE-BD5E-4410-B809-9E1077A7A732}" uniqueName="4" name="CE VOL" queryTableFieldId="4" dataDxfId="11"/>
    <tableColumn id="5" xr3:uid="{03FED5CC-2983-4135-B455-B7DCF6064D75}" uniqueName="5" name="CE OI" queryTableFieldId="5" dataDxfId="10"/>
    <tableColumn id="6" xr3:uid="{46E4186C-18D6-45A6-80AC-080823F25731}" uniqueName="6" name="VOL %" queryTableFieldId="6" dataDxfId="9">
      <calculatedColumnFormula>BANKNIFTY_Option[[#This Row],[CE VOL]]/LARGE(BANKNIFTY_Option[CE VOL],1)</calculatedColumnFormula>
    </tableColumn>
    <tableColumn id="7" xr3:uid="{F74F35A9-4956-4706-845F-451145FAD024}" uniqueName="7" name="Oi above 50" queryTableFieldId="7">
      <calculatedColumnFormula>IF(BANKNIFTY_Option[[#This Row],[VOL %]]&gt;0.4, BANKNIFTY_Option[[#This Row],[CE OI]], "")</calculatedColumnFormula>
    </tableColumn>
    <tableColumn id="8" xr3:uid="{05500C82-49DD-425D-9CEA-A7AD618A6476}" uniqueName="8" name="OI %" queryTableFieldId="8" dataDxfId="8">
      <calculatedColumnFormula>IFERROR(BANKNIFTY_Option[[#This Row],[Oi above 50]]/LARGE(BANKNIFTY_Option[Oi above 50],1), "")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2366ADC-DF2A-49E6-BB2A-9B863459FFCC}" name="Fin_Nifty_Option" displayName="Fin_Nifty_Option" ref="E5:I45" tableType="queryTable" totalsRowShown="0">
  <tableColumns count="5">
    <tableColumn id="1" xr3:uid="{236CC487-FAE9-4844-9C63-1D561A7D32CB}" uniqueName="1" name="PE OI" queryTableFieldId="1" dataDxfId="21"/>
    <tableColumn id="2" xr3:uid="{AFBBC9FE-19F6-404C-B93E-7070CB5FF0BF}" uniqueName="2" name="PE VOL" queryTableFieldId="2" dataDxfId="20"/>
    <tableColumn id="3" xr3:uid="{5502E4C9-AAC2-4285-BAB9-D74EDE51A019}" uniqueName="3" name="Strikes" queryTableFieldId="3" dataDxfId="19"/>
    <tableColumn id="4" xr3:uid="{B07AC9FA-F9ED-41C1-9945-1E6238384C01}" uniqueName="4" name="CE VOL" queryTableFieldId="4" dataDxfId="18"/>
    <tableColumn id="5" xr3:uid="{43EC5F37-67B7-4A27-8FE3-D641A8F5B51A}" uniqueName="5" name="CE OI" queryTableFieldId="5" dataDxfId="1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218B44-C28E-4C35-B6B9-72E8EBB1335F}" name="NIFTY_Option" displayName="NIFTY_Option" ref="E5:L45" tableType="queryTable" totalsRowShown="0" headerRowDxfId="82">
  <tableColumns count="8">
    <tableColumn id="2" xr3:uid="{4826B702-B1D4-4824-AE98-727B88316305}" uniqueName="2" name="PE OI" queryTableFieldId="2" dataDxfId="7"/>
    <tableColumn id="3" xr3:uid="{A4F8CB0A-6968-471D-9C25-17A3AE07B5A8}" uniqueName="3" name="PE VOL" queryTableFieldId="3" dataDxfId="6"/>
    <tableColumn id="4" xr3:uid="{9887B406-C3AF-4AD3-B1D6-C23392022EE4}" uniqueName="4" name="Strikes" queryTableFieldId="4" dataDxfId="5"/>
    <tableColumn id="5" xr3:uid="{8C6EFB1D-90D0-4D33-A864-21ECCC37FACF}" uniqueName="5" name="CE VOL" queryTableFieldId="5" dataDxfId="4"/>
    <tableColumn id="6" xr3:uid="{54D88753-3CC0-4E5D-89B8-6C2D308D4BD0}" uniqueName="6" name="CE OI" queryTableFieldId="6" dataDxfId="3"/>
    <tableColumn id="1" xr3:uid="{10DB1049-A0D9-47E1-ABBE-F9485EC6E0CB}" uniqueName="1" name="VOL%" queryTableFieldId="8" dataDxfId="2">
      <calculatedColumnFormula>NIFTY_Option[[#This Row],[CE VOL]]/LARGE(NIFTY_Option[CE VOL],1)</calculatedColumnFormula>
    </tableColumn>
    <tableColumn id="7" xr3:uid="{87599FD1-2CB9-4729-A627-68398A33B77A}" uniqueName="7" name="OI" queryTableFieldId="10" dataDxfId="1">
      <calculatedColumnFormula>IF(NIFTY_Option[[#This Row],[VOL%]]&gt;0.4, NIFTY_Option[[#This Row],[CE OI]], "")</calculatedColumnFormula>
    </tableColumn>
    <tableColumn id="8" xr3:uid="{513529D8-F690-4AFC-8690-2B7A83893209}" uniqueName="8" name="OI (%)" queryTableFieldId="11" dataDxfId="0">
      <calculatedColumnFormula>IFERROR(NIFTY_Option[[#This Row],[OI]]/LARGE(NIFTY_Option[OI],1), 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0A23-E00E-4172-B11B-E0976841C2C6}">
  <sheetPr codeName="Sheet1"/>
  <dimension ref="A1:N53"/>
  <sheetViews>
    <sheetView tabSelected="1" zoomScale="106" zoomScaleNormal="100" workbookViewId="0">
      <selection activeCell="D26" sqref="D26"/>
    </sheetView>
  </sheetViews>
  <sheetFormatPr defaultRowHeight="14.6" x14ac:dyDescent="0.4"/>
  <cols>
    <col min="3" max="3" width="15.4609375" bestFit="1" customWidth="1"/>
    <col min="4" max="4" width="9.3828125" bestFit="1" customWidth="1"/>
    <col min="5" max="5" width="9.23046875" customWidth="1"/>
    <col min="6" max="6" width="11.3828125" bestFit="1" customWidth="1"/>
    <col min="7" max="7" width="8.61328125" customWidth="1"/>
    <col min="8" max="8" width="10.84375" customWidth="1"/>
    <col min="9" max="9" width="12.23046875" bestFit="1" customWidth="1"/>
    <col min="10" max="10" width="9.07421875" customWidth="1"/>
    <col min="11" max="11" width="11.3828125" bestFit="1" customWidth="1"/>
    <col min="13" max="13" width="11.3828125" bestFit="1" customWidth="1"/>
    <col min="14" max="14" width="10.23046875" bestFit="1" customWidth="1"/>
  </cols>
  <sheetData>
    <row r="1" spans="1:14" x14ac:dyDescent="0.4">
      <c r="A1" s="46"/>
      <c r="B1" s="46"/>
      <c r="C1" s="1"/>
    </row>
    <row r="3" spans="1:14" x14ac:dyDescent="0.4">
      <c r="C3" s="1" t="s">
        <v>0</v>
      </c>
    </row>
    <row r="4" spans="1:14" x14ac:dyDescent="0.4">
      <c r="C4" s="4" t="s">
        <v>60</v>
      </c>
    </row>
    <row r="12" spans="1:14" x14ac:dyDescent="0.4">
      <c r="F12" s="37" t="s">
        <v>27</v>
      </c>
      <c r="H12" s="43" t="s">
        <v>27</v>
      </c>
      <c r="I12" s="43"/>
      <c r="K12" s="37" t="s">
        <v>36</v>
      </c>
      <c r="M12" s="37" t="s">
        <v>35</v>
      </c>
    </row>
    <row r="13" spans="1:14" x14ac:dyDescent="0.4">
      <c r="C13" t="s">
        <v>6</v>
      </c>
      <c r="D13" t="s">
        <v>14</v>
      </c>
      <c r="F13" t="s">
        <v>7</v>
      </c>
      <c r="H13" s="1" t="s">
        <v>7</v>
      </c>
      <c r="I13" s="1" t="s">
        <v>13</v>
      </c>
      <c r="K13" t="s">
        <v>7</v>
      </c>
      <c r="M13" t="s">
        <v>7</v>
      </c>
    </row>
    <row r="14" spans="1:14" x14ac:dyDescent="0.4">
      <c r="C14" s="3">
        <v>45610.645833333336</v>
      </c>
      <c r="D14">
        <v>23532.7</v>
      </c>
      <c r="F14" t="s">
        <v>52</v>
      </c>
      <c r="H14" t="s">
        <v>52</v>
      </c>
      <c r="I14">
        <v>10</v>
      </c>
      <c r="K14" t="s">
        <v>38</v>
      </c>
      <c r="M14" t="s">
        <v>49</v>
      </c>
    </row>
    <row r="15" spans="1:14" x14ac:dyDescent="0.4">
      <c r="D15" s="1" cm="1">
        <f t="array" ref="D15">INDEX(NIFTY_Option[Strikes],MATCH(MIN(ABS(NIFTY_Option[Strikes]-'Cookies And Miscellaneous'!$D$14:$D$14)),ABS(NIFTY_Option[Strikes]-'Cookies And Miscellaneous'!$D$14:$D$14),0))</f>
        <v>23550</v>
      </c>
      <c r="F15" t="s">
        <v>53</v>
      </c>
      <c r="K15" t="s">
        <v>43</v>
      </c>
      <c r="M15" t="s">
        <v>50</v>
      </c>
      <c r="N15" s="23"/>
    </row>
    <row r="16" spans="1:14" x14ac:dyDescent="0.4">
      <c r="F16" t="s">
        <v>54</v>
      </c>
      <c r="K16" t="s">
        <v>44</v>
      </c>
      <c r="M16" t="s">
        <v>51</v>
      </c>
    </row>
    <row r="17" spans="3:13" x14ac:dyDescent="0.4">
      <c r="F17" t="s">
        <v>55</v>
      </c>
      <c r="H17" s="43" t="s">
        <v>28</v>
      </c>
      <c r="I17" s="43"/>
      <c r="K17" t="s">
        <v>41</v>
      </c>
      <c r="M17" t="s">
        <v>59</v>
      </c>
    </row>
    <row r="18" spans="3:13" x14ac:dyDescent="0.4">
      <c r="C18" t="s">
        <v>6</v>
      </c>
      <c r="D18" t="s">
        <v>15</v>
      </c>
      <c r="F18" t="s">
        <v>56</v>
      </c>
      <c r="H18" s="1" t="s">
        <v>16</v>
      </c>
      <c r="I18" s="1" t="s">
        <v>13</v>
      </c>
      <c r="K18" t="s">
        <v>45</v>
      </c>
    </row>
    <row r="19" spans="3:13" x14ac:dyDescent="0.4">
      <c r="C19" s="3">
        <v>45610.645833333336</v>
      </c>
      <c r="D19">
        <v>50179.55</v>
      </c>
      <c r="F19" t="s">
        <v>8</v>
      </c>
      <c r="H19" t="s">
        <v>40</v>
      </c>
      <c r="I19">
        <v>20</v>
      </c>
      <c r="K19" t="s">
        <v>46</v>
      </c>
    </row>
    <row r="20" spans="3:13" x14ac:dyDescent="0.4">
      <c r="D20" s="1" cm="1">
        <f t="array" ref="D20">INDEX(BANKNIFTY_Option[Strikes],MATCH(MIN(ABS(BANKNIFTY_Option[Strikes]-'Cookies And Miscellaneous'!$D$19:$D$19)),ABS(BANKNIFTY_Option[Strikes]-'Cookies And Miscellaneous'!$D$19:$D$19),0))</f>
        <v>50150</v>
      </c>
      <c r="F20" t="s">
        <v>57</v>
      </c>
      <c r="K20" t="s">
        <v>47</v>
      </c>
    </row>
    <row r="21" spans="3:13" x14ac:dyDescent="0.4">
      <c r="F21" t="s">
        <v>42</v>
      </c>
      <c r="H21" s="43" t="s">
        <v>35</v>
      </c>
      <c r="I21" s="43"/>
      <c r="K21" t="s">
        <v>39</v>
      </c>
    </row>
    <row r="22" spans="3:13" x14ac:dyDescent="0.4">
      <c r="F22" t="s">
        <v>9</v>
      </c>
      <c r="H22" s="1" t="s">
        <v>34</v>
      </c>
      <c r="I22" s="1" t="s">
        <v>13</v>
      </c>
      <c r="K22" t="s">
        <v>40</v>
      </c>
    </row>
    <row r="23" spans="3:13" x14ac:dyDescent="0.4">
      <c r="C23" t="s">
        <v>6</v>
      </c>
      <c r="D23" t="s">
        <v>37</v>
      </c>
      <c r="F23" t="s">
        <v>58</v>
      </c>
      <c r="H23" t="s">
        <v>49</v>
      </c>
      <c r="I23">
        <v>10</v>
      </c>
      <c r="K23" t="s">
        <v>48</v>
      </c>
    </row>
    <row r="24" spans="3:13" x14ac:dyDescent="0.4">
      <c r="C24" s="3">
        <v>45610.645833333336</v>
      </c>
      <c r="D24">
        <v>23200.3</v>
      </c>
      <c r="F24" t="s">
        <v>10</v>
      </c>
    </row>
    <row r="25" spans="3:13" x14ac:dyDescent="0.4">
      <c r="C25" s="3"/>
      <c r="D25" s="1" cm="1">
        <f t="array" ref="D25">INDEX(Fin_Nifty_Option[Strikes],MATCH(MIN(ABS(Fin_Nifty_Option[Strikes]-Fin_Nifty_Price[Fin Nifty Price])),ABS(Fin_Nifty_Option[Strikes]-Fin_Nifty_Price[Fin Nifty Price]),0))</f>
        <v>23200</v>
      </c>
      <c r="F25" t="s">
        <v>11</v>
      </c>
    </row>
    <row r="26" spans="3:13" x14ac:dyDescent="0.4">
      <c r="C26" s="2"/>
      <c r="F26" t="s">
        <v>12</v>
      </c>
    </row>
    <row r="27" spans="3:13" x14ac:dyDescent="0.4">
      <c r="C27" s="2"/>
      <c r="F27" t="s">
        <v>24</v>
      </c>
    </row>
    <row r="28" spans="3:13" x14ac:dyDescent="0.4">
      <c r="C28" s="2"/>
      <c r="F28" t="s">
        <v>32</v>
      </c>
    </row>
    <row r="29" spans="3:13" x14ac:dyDescent="0.4">
      <c r="C29" s="2"/>
      <c r="F29" t="s">
        <v>33</v>
      </c>
    </row>
    <row r="30" spans="3:13" x14ac:dyDescent="0.4">
      <c r="C30" s="2"/>
    </row>
    <row r="31" spans="3:13" x14ac:dyDescent="0.4">
      <c r="C31" s="2"/>
    </row>
    <row r="32" spans="3:13" x14ac:dyDescent="0.4">
      <c r="C32" s="2"/>
    </row>
    <row r="33" spans="3:3" x14ac:dyDescent="0.4">
      <c r="C33" s="2"/>
    </row>
    <row r="34" spans="3:3" x14ac:dyDescent="0.4">
      <c r="C34" s="2"/>
    </row>
    <row r="35" spans="3:3" x14ac:dyDescent="0.4">
      <c r="C35" s="2"/>
    </row>
    <row r="36" spans="3:3" x14ac:dyDescent="0.4">
      <c r="C36" s="2"/>
    </row>
    <row r="37" spans="3:3" x14ac:dyDescent="0.4">
      <c r="C37" s="2"/>
    </row>
    <row r="38" spans="3:3" x14ac:dyDescent="0.4">
      <c r="C38" s="2"/>
    </row>
    <row r="39" spans="3:3" x14ac:dyDescent="0.4">
      <c r="C39" s="2"/>
    </row>
    <row r="40" spans="3:3" x14ac:dyDescent="0.4">
      <c r="C40" s="2"/>
    </row>
    <row r="41" spans="3:3" x14ac:dyDescent="0.4">
      <c r="C41" s="2"/>
    </row>
    <row r="42" spans="3:3" x14ac:dyDescent="0.4">
      <c r="C42" s="2"/>
    </row>
    <row r="43" spans="3:3" x14ac:dyDescent="0.4">
      <c r="C43" s="2"/>
    </row>
    <row r="44" spans="3:3" x14ac:dyDescent="0.4">
      <c r="C44" s="2"/>
    </row>
    <row r="45" spans="3:3" x14ac:dyDescent="0.4">
      <c r="C45" s="2"/>
    </row>
    <row r="46" spans="3:3" x14ac:dyDescent="0.4">
      <c r="C46" s="2"/>
    </row>
    <row r="47" spans="3:3" x14ac:dyDescent="0.4">
      <c r="C47" s="2"/>
    </row>
    <row r="48" spans="3:3" x14ac:dyDescent="0.4">
      <c r="C48" s="2"/>
    </row>
    <row r="49" spans="3:3" x14ac:dyDescent="0.4">
      <c r="C49" s="2"/>
    </row>
    <row r="50" spans="3:3" x14ac:dyDescent="0.4">
      <c r="C50" s="2"/>
    </row>
    <row r="51" spans="3:3" x14ac:dyDescent="0.4">
      <c r="C51" s="2"/>
    </row>
    <row r="52" spans="3:3" x14ac:dyDescent="0.4">
      <c r="C52" s="2"/>
    </row>
    <row r="53" spans="3:3" x14ac:dyDescent="0.4">
      <c r="C53" s="2"/>
    </row>
  </sheetData>
  <mergeCells count="3">
    <mergeCell ref="H12:I12"/>
    <mergeCell ref="H21:I21"/>
    <mergeCell ref="H17:I17"/>
  </mergeCells>
  <dataValidations count="3">
    <dataValidation type="list" allowBlank="1" showInputMessage="1" showErrorMessage="1" sqref="H19" xr:uid="{FFC27B2F-1CA6-424F-ADDA-35D8DE585C87}">
      <formula1>$K$14:$K$23</formula1>
    </dataValidation>
    <dataValidation type="list" allowBlank="1" showInputMessage="1" showErrorMessage="1" sqref="H23" xr:uid="{0BC0D7A9-4215-4BFF-BD43-6C7D5790F638}">
      <formula1>$M$14:$M$17</formula1>
    </dataValidation>
    <dataValidation type="list" allowBlank="1" showInputMessage="1" showErrorMessage="1" sqref="H14" xr:uid="{0873F80A-C694-4E67-AAAA-EAF81B4898EC}">
      <formula1>$F$14:$F$29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AutoRefresh">
                <anchor moveWithCells="1" sizeWithCells="1">
                  <from>
                    <xdr:col>5</xdr:col>
                    <xdr:colOff>10886</xdr:colOff>
                    <xdr:row>4</xdr:row>
                    <xdr:rowOff>27214</xdr:rowOff>
                  </from>
                  <to>
                    <xdr:col>8</xdr:col>
                    <xdr:colOff>21771</xdr:colOff>
                    <xdr:row>6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opAutoRefresh">
                <anchor moveWithCells="1" sizeWithCells="1">
                  <from>
                    <xdr:col>5</xdr:col>
                    <xdr:colOff>255814</xdr:colOff>
                    <xdr:row>0</xdr:row>
                    <xdr:rowOff>136071</xdr:rowOff>
                  </from>
                  <to>
                    <xdr:col>7</xdr:col>
                    <xdr:colOff>440871</xdr:colOff>
                    <xdr:row>2</xdr:row>
                    <xdr:rowOff>136071</xdr:rowOff>
                  </to>
                </anchor>
              </controlPr>
            </control>
          </mc:Choice>
        </mc:AlternateContent>
      </controls>
    </mc:Choice>
  </mc:AlternateContent>
  <tableParts count="10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48D8-C441-43C8-8FA0-77205C0AA68A}">
  <sheetPr codeName="Sheet3"/>
  <dimension ref="B5:L45"/>
  <sheetViews>
    <sheetView topLeftCell="A3" zoomScale="113" zoomScaleNormal="126" workbookViewId="0">
      <selection activeCell="N17" sqref="N17"/>
    </sheetView>
  </sheetViews>
  <sheetFormatPr defaultRowHeight="14.6" x14ac:dyDescent="0.4"/>
  <cols>
    <col min="2" max="2" width="5.3046875" bestFit="1" customWidth="1"/>
    <col min="3" max="3" width="6.84375" bestFit="1" customWidth="1"/>
    <col min="5" max="5" width="5.3046875" bestFit="1" customWidth="1"/>
    <col min="6" max="6" width="6.765625" bestFit="1" customWidth="1"/>
    <col min="7" max="7" width="5.69140625" bestFit="1" customWidth="1"/>
    <col min="8" max="8" width="6.765625" bestFit="1" customWidth="1"/>
    <col min="9" max="9" width="5.3046875" bestFit="1" customWidth="1"/>
    <col min="10" max="10" width="6.84375" bestFit="1" customWidth="1"/>
    <col min="11" max="11" width="10.69140625" bestFit="1" customWidth="1"/>
    <col min="12" max="12" width="5.3046875" bestFit="1" customWidth="1"/>
  </cols>
  <sheetData>
    <row r="5" spans="2:12" x14ac:dyDescent="0.4">
      <c r="D5" s="13" t="s">
        <v>18</v>
      </c>
      <c r="E5" s="14" t="s">
        <v>1</v>
      </c>
      <c r="F5" s="14" t="s">
        <v>2</v>
      </c>
      <c r="G5" s="11" t="s">
        <v>3</v>
      </c>
      <c r="H5" s="9" t="s">
        <v>4</v>
      </c>
      <c r="I5" s="9" t="s">
        <v>5</v>
      </c>
      <c r="J5" s="10" t="s">
        <v>18</v>
      </c>
      <c r="K5" s="29" t="s">
        <v>31</v>
      </c>
      <c r="L5" s="29" t="s">
        <v>30</v>
      </c>
    </row>
    <row r="6" spans="2:12" x14ac:dyDescent="0.4">
      <c r="B6" s="30" t="str">
        <f t="shared" ref="B6:B23" si="0">IFERROR(C6/LARGE($C$6:$C$45,1), "")</f>
        <v/>
      </c>
      <c r="C6" s="31" t="str">
        <f>IF(D6&gt;0.4, BANKNIFTY_Option[[#This Row],[PE OI]], "")</f>
        <v/>
      </c>
      <c r="D6" s="15">
        <f>BANKNIFTY_Option[[#This Row],[PE VOL]]/LARGE(BANKNIFTY_Option[PE VOL],1)</f>
        <v>1.0424050369011383E-3</v>
      </c>
      <c r="E6" s="8">
        <v>200</v>
      </c>
      <c r="F6" s="8">
        <v>25</v>
      </c>
      <c r="G6" s="16">
        <v>52150</v>
      </c>
      <c r="H6" s="7">
        <v>505</v>
      </c>
      <c r="I6" s="7">
        <v>494</v>
      </c>
      <c r="J6" s="19">
        <f>BANKNIFTY_Option[[#This Row],[CE VOL]]/LARGE(BANKNIFTY_Option[CE VOL],1)</f>
        <v>2.3216255976461934E-2</v>
      </c>
      <c r="K6" t="str">
        <f>IF(BANKNIFTY_Option[[#This Row],[VOL %]]&gt;0.4, BANKNIFTY_Option[[#This Row],[CE OI]], "")</f>
        <v/>
      </c>
      <c r="L6" s="27" t="str">
        <f>IFERROR(BANKNIFTY_Option[[#This Row],[Oi above 50]]/LARGE(BANKNIFTY_Option[Oi above 50],1), "")</f>
        <v/>
      </c>
    </row>
    <row r="7" spans="2:12" x14ac:dyDescent="0.4">
      <c r="B7" s="30" t="str">
        <f t="shared" si="0"/>
        <v/>
      </c>
      <c r="C7" s="31" t="str">
        <f>IF(D7&gt;0.4, BANKNIFTY_Option[[#This Row],[PE OI]], "")</f>
        <v/>
      </c>
      <c r="D7" s="15">
        <f>BANKNIFTY_Option[[#This Row],[PE VOL]]/LARGE(BANKNIFTY_Option[PE VOL],1)</f>
        <v>0.23499979151899261</v>
      </c>
      <c r="E7" s="8">
        <v>7628</v>
      </c>
      <c r="F7" s="8">
        <v>5636</v>
      </c>
      <c r="G7" s="16">
        <v>52050</v>
      </c>
      <c r="H7" s="7">
        <v>21752</v>
      </c>
      <c r="I7" s="7">
        <v>16777</v>
      </c>
      <c r="J7" s="19">
        <f>BANKNIFTY_Option[[#This Row],[CE VOL]]/LARGE(BANKNIFTY_Option[CE VOL],1)</f>
        <v>1</v>
      </c>
      <c r="K7">
        <f>IF(BANKNIFTY_Option[[#This Row],[VOL %]]&gt;0.4, BANKNIFTY_Option[[#This Row],[CE OI]], "")</f>
        <v>16777</v>
      </c>
      <c r="L7" s="27">
        <f>IFERROR(BANKNIFTY_Option[[#This Row],[Oi above 50]]/LARGE(BANKNIFTY_Option[Oi above 50],1), "")</f>
        <v>1</v>
      </c>
    </row>
    <row r="8" spans="2:12" x14ac:dyDescent="0.4">
      <c r="B8" s="30" t="str">
        <f t="shared" si="0"/>
        <v/>
      </c>
      <c r="C8" s="31" t="str">
        <f>IF(D8&gt;0.4, BANKNIFTY_Option[[#This Row],[PE OI]], "")</f>
        <v/>
      </c>
      <c r="D8" s="15">
        <f>BANKNIFTY_Option[[#This Row],[PE VOL]]/LARGE(BANKNIFTY_Option[PE VOL],1)</f>
        <v>2.8770379018471419E-3</v>
      </c>
      <c r="E8" s="8">
        <v>223</v>
      </c>
      <c r="F8" s="8">
        <v>69</v>
      </c>
      <c r="G8" s="16">
        <v>51950</v>
      </c>
      <c r="H8" s="7">
        <v>653</v>
      </c>
      <c r="I8" s="7">
        <v>639</v>
      </c>
      <c r="J8" s="19">
        <f>BANKNIFTY_Option[[#This Row],[CE VOL]]/LARGE(BANKNIFTY_Option[CE VOL],1)</f>
        <v>3.0020228025009196E-2</v>
      </c>
      <c r="K8" t="str">
        <f>IF(BANKNIFTY_Option[[#This Row],[VOL %]]&gt;0.4, BANKNIFTY_Option[[#This Row],[CE OI]], "")</f>
        <v/>
      </c>
      <c r="L8" s="27" t="str">
        <f>IFERROR(BANKNIFTY_Option[[#This Row],[Oi above 50]]/LARGE(BANKNIFTY_Option[Oi above 50],1), "")</f>
        <v/>
      </c>
    </row>
    <row r="9" spans="2:12" x14ac:dyDescent="0.4">
      <c r="B9" s="30" t="str">
        <f t="shared" si="0"/>
        <v/>
      </c>
      <c r="C9" s="31" t="str">
        <f>IF(D9&gt;0.4, BANKNIFTY_Option[[#This Row],[PE OI]], "")</f>
        <v/>
      </c>
      <c r="D9" s="15">
        <f>BANKNIFTY_Option[[#This Row],[PE VOL]]/LARGE(BANKNIFTY_Option[PE VOL],1)</f>
        <v>1.5844556560897303E-3</v>
      </c>
      <c r="E9" s="8">
        <v>865</v>
      </c>
      <c r="F9" s="8">
        <v>38</v>
      </c>
      <c r="G9" s="16">
        <v>51850</v>
      </c>
      <c r="H9" s="7">
        <v>894</v>
      </c>
      <c r="I9" s="7">
        <v>1471</v>
      </c>
      <c r="J9" s="19">
        <f>BANKNIFTY_Option[[#This Row],[CE VOL]]/LARGE(BANKNIFTY_Option[CE VOL],1)</f>
        <v>4.1099668995954394E-2</v>
      </c>
      <c r="K9" t="str">
        <f>IF(BANKNIFTY_Option[[#This Row],[VOL %]]&gt;0.4, BANKNIFTY_Option[[#This Row],[CE OI]], "")</f>
        <v/>
      </c>
      <c r="L9" s="27" t="str">
        <f>IFERROR(BANKNIFTY_Option[[#This Row],[Oi above 50]]/LARGE(BANKNIFTY_Option[Oi above 50],1), "")</f>
        <v/>
      </c>
    </row>
    <row r="10" spans="2:12" x14ac:dyDescent="0.4">
      <c r="B10" s="30" t="str">
        <f t="shared" si="0"/>
        <v/>
      </c>
      <c r="C10" s="31" t="str">
        <f>IF(D10&gt;0.4, BANKNIFTY_Option[[#This Row],[PE OI]], "")</f>
        <v/>
      </c>
      <c r="D10" s="15">
        <f>BANKNIFTY_Option[[#This Row],[PE VOL]]/LARGE(BANKNIFTY_Option[PE VOL],1)</f>
        <v>2.5434682900387774E-3</v>
      </c>
      <c r="E10" s="8">
        <v>367</v>
      </c>
      <c r="F10" s="8">
        <v>61</v>
      </c>
      <c r="G10" s="16">
        <v>51750</v>
      </c>
      <c r="H10" s="7">
        <v>1592</v>
      </c>
      <c r="I10" s="7">
        <v>898</v>
      </c>
      <c r="J10" s="19">
        <f>BANKNIFTY_Option[[#This Row],[CE VOL]]/LARGE(BANKNIFTY_Option[CE VOL],1)</f>
        <v>7.3188672305994851E-2</v>
      </c>
      <c r="K10" t="str">
        <f>IF(BANKNIFTY_Option[[#This Row],[VOL %]]&gt;0.4, BANKNIFTY_Option[[#This Row],[CE OI]], "")</f>
        <v/>
      </c>
      <c r="L10" s="27" t="str">
        <f>IFERROR(BANKNIFTY_Option[[#This Row],[Oi above 50]]/LARGE(BANKNIFTY_Option[Oi above 50],1), "")</f>
        <v/>
      </c>
    </row>
    <row r="11" spans="2:12" x14ac:dyDescent="0.4">
      <c r="B11" s="30" t="str">
        <f t="shared" si="0"/>
        <v/>
      </c>
      <c r="C11" s="31" t="str">
        <f>IF(D11&gt;0.4, BANKNIFTY_Option[[#This Row],[PE OI]], "")</f>
        <v/>
      </c>
      <c r="D11" s="15">
        <f>BANKNIFTY_Option[[#This Row],[PE VOL]]/LARGE(BANKNIFTY_Option[PE VOL],1)</f>
        <v>1.0590835174915565E-2</v>
      </c>
      <c r="E11" s="8">
        <v>205</v>
      </c>
      <c r="F11" s="8">
        <v>254</v>
      </c>
      <c r="G11" s="16">
        <v>51650</v>
      </c>
      <c r="H11" s="7">
        <v>815</v>
      </c>
      <c r="I11" s="7">
        <v>682</v>
      </c>
      <c r="J11" s="19">
        <f>BANKNIFTY_Option[[#This Row],[CE VOL]]/LARGE(BANKNIFTY_Option[CE VOL],1)</f>
        <v>3.7467819051121738E-2</v>
      </c>
      <c r="K11" t="str">
        <f>IF(BANKNIFTY_Option[[#This Row],[VOL %]]&gt;0.4, BANKNIFTY_Option[[#This Row],[CE OI]], "")</f>
        <v/>
      </c>
      <c r="L11" s="27" t="str">
        <f>IFERROR(BANKNIFTY_Option[[#This Row],[Oi above 50]]/LARGE(BANKNIFTY_Option[Oi above 50],1), "")</f>
        <v/>
      </c>
    </row>
    <row r="12" spans="2:12" x14ac:dyDescent="0.4">
      <c r="B12" s="30" t="str">
        <f t="shared" si="0"/>
        <v/>
      </c>
      <c r="C12" s="31" t="str">
        <f>IF(D12&gt;0.4, BANKNIFTY_Option[[#This Row],[PE OI]], "")</f>
        <v/>
      </c>
      <c r="D12" s="15">
        <f>BANKNIFTY_Option[[#This Row],[PE VOL]]/LARGE(BANKNIFTY_Option[PE VOL],1)</f>
        <v>0.11645749072259517</v>
      </c>
      <c r="E12" s="8">
        <v>4102</v>
      </c>
      <c r="F12" s="8">
        <v>2793</v>
      </c>
      <c r="G12" s="16">
        <v>51550</v>
      </c>
      <c r="H12" s="7">
        <v>9437</v>
      </c>
      <c r="I12" s="7">
        <v>6291</v>
      </c>
      <c r="J12" s="19">
        <f>BANKNIFTY_Option[[#This Row],[CE VOL]]/LARGE(BANKNIFTY_Option[CE VOL],1)</f>
        <v>0.43384516366311143</v>
      </c>
      <c r="K12">
        <f>IF(BANKNIFTY_Option[[#This Row],[VOL %]]&gt;0.4, BANKNIFTY_Option[[#This Row],[CE OI]], "")</f>
        <v>6291</v>
      </c>
      <c r="L12" s="27">
        <f>IFERROR(BANKNIFTY_Option[[#This Row],[Oi above 50]]/LARGE(BANKNIFTY_Option[Oi above 50],1), "")</f>
        <v>0.3749776479704357</v>
      </c>
    </row>
    <row r="13" spans="2:12" x14ac:dyDescent="0.4">
      <c r="B13" s="30" t="str">
        <f t="shared" si="0"/>
        <v/>
      </c>
      <c r="C13" s="31" t="str">
        <f>IF(D13&gt;0.4, BANKNIFTY_Option[[#This Row],[PE OI]], "")</f>
        <v/>
      </c>
      <c r="D13" s="15">
        <f>BANKNIFTY_Option[[#This Row],[PE VOL]]/LARGE(BANKNIFTY_Option[PE VOL],1)</f>
        <v>1.6761872993370303E-2</v>
      </c>
      <c r="E13" s="8">
        <v>248</v>
      </c>
      <c r="F13" s="8">
        <v>402</v>
      </c>
      <c r="G13" s="16">
        <v>51450</v>
      </c>
      <c r="H13" s="7">
        <v>707</v>
      </c>
      <c r="I13" s="7">
        <v>653</v>
      </c>
      <c r="J13" s="19">
        <f>BANKNIFTY_Option[[#This Row],[CE VOL]]/LARGE(BANKNIFTY_Option[CE VOL],1)</f>
        <v>3.2502758367046705E-2</v>
      </c>
      <c r="K13" t="str">
        <f>IF(BANKNIFTY_Option[[#This Row],[VOL %]]&gt;0.4, BANKNIFTY_Option[[#This Row],[CE OI]], "")</f>
        <v/>
      </c>
      <c r="L13" s="27" t="str">
        <f>IFERROR(BANKNIFTY_Option[[#This Row],[Oi above 50]]/LARGE(BANKNIFTY_Option[Oi above 50],1), "")</f>
        <v/>
      </c>
    </row>
    <row r="14" spans="2:12" x14ac:dyDescent="0.4">
      <c r="B14" s="30" t="str">
        <f t="shared" si="0"/>
        <v/>
      </c>
      <c r="C14" s="31" t="str">
        <f>IF(D14&gt;0.4, BANKNIFTY_Option[[#This Row],[PE OI]], "")</f>
        <v/>
      </c>
      <c r="D14" s="15">
        <f>BANKNIFTY_Option[[#This Row],[PE VOL]]/LARGE(BANKNIFTY_Option[PE VOL],1)</f>
        <v>1.5636075553517075E-2</v>
      </c>
      <c r="E14" s="8">
        <v>460</v>
      </c>
      <c r="F14" s="8">
        <v>375</v>
      </c>
      <c r="G14" s="16">
        <v>51350</v>
      </c>
      <c r="H14" s="7">
        <v>683</v>
      </c>
      <c r="I14" s="7">
        <v>500</v>
      </c>
      <c r="J14" s="19">
        <f>BANKNIFTY_Option[[#This Row],[CE VOL]]/LARGE(BANKNIFTY_Option[CE VOL],1)</f>
        <v>3.1399411548363371E-2</v>
      </c>
      <c r="K14" t="str">
        <f>IF(BANKNIFTY_Option[[#This Row],[VOL %]]&gt;0.4, BANKNIFTY_Option[[#This Row],[CE OI]], "")</f>
        <v/>
      </c>
      <c r="L14" s="27" t="str">
        <f>IFERROR(BANKNIFTY_Option[[#This Row],[Oi above 50]]/LARGE(BANKNIFTY_Option[Oi above 50],1), "")</f>
        <v/>
      </c>
    </row>
    <row r="15" spans="2:12" x14ac:dyDescent="0.4">
      <c r="B15" s="30" t="str">
        <f t="shared" si="0"/>
        <v/>
      </c>
      <c r="C15" s="31" t="str">
        <f>IF(D15&gt;0.4, BANKNIFTY_Option[[#This Row],[PE OI]], "")</f>
        <v/>
      </c>
      <c r="D15" s="15">
        <f>BANKNIFTY_Option[[#This Row],[PE VOL]]/LARGE(BANKNIFTY_Option[PE VOL],1)</f>
        <v>2.1682024767543676E-2</v>
      </c>
      <c r="E15" s="8">
        <v>449</v>
      </c>
      <c r="F15" s="8">
        <v>520</v>
      </c>
      <c r="G15" s="16">
        <v>51250</v>
      </c>
      <c r="H15" s="7">
        <v>803</v>
      </c>
      <c r="I15" s="7">
        <v>539</v>
      </c>
      <c r="J15" s="19">
        <f>BANKNIFTY_Option[[#This Row],[CE VOL]]/LARGE(BANKNIFTY_Option[CE VOL],1)</f>
        <v>3.6916145641780064E-2</v>
      </c>
      <c r="K15" t="str">
        <f>IF(BANKNIFTY_Option[[#This Row],[VOL %]]&gt;0.4, BANKNIFTY_Option[[#This Row],[CE OI]], "")</f>
        <v/>
      </c>
      <c r="L15" s="27" t="str">
        <f>IFERROR(BANKNIFTY_Option[[#This Row],[Oi above 50]]/LARGE(BANKNIFTY_Option[Oi above 50],1), "")</f>
        <v/>
      </c>
    </row>
    <row r="16" spans="2:12" x14ac:dyDescent="0.4">
      <c r="B16" s="30" t="str">
        <f t="shared" si="0"/>
        <v/>
      </c>
      <c r="C16" s="31" t="str">
        <f>IF(D16&gt;0.4, BANKNIFTY_Option[[#This Row],[PE OI]], "")</f>
        <v/>
      </c>
      <c r="D16" s="15">
        <f>BANKNIFTY_Option[[#This Row],[PE VOL]]/LARGE(BANKNIFTY_Option[PE VOL],1)</f>
        <v>1.8221240045031898E-2</v>
      </c>
      <c r="E16" s="8">
        <v>241</v>
      </c>
      <c r="F16" s="8">
        <v>437</v>
      </c>
      <c r="G16" s="16">
        <v>51150</v>
      </c>
      <c r="H16" s="7">
        <v>472</v>
      </c>
      <c r="I16" s="7">
        <v>279</v>
      </c>
      <c r="J16" s="19">
        <f>BANKNIFTY_Option[[#This Row],[CE VOL]]/LARGE(BANKNIFTY_Option[CE VOL],1)</f>
        <v>2.1699154100772344E-2</v>
      </c>
      <c r="K16" t="str">
        <f>IF(BANKNIFTY_Option[[#This Row],[VOL %]]&gt;0.4, BANKNIFTY_Option[[#This Row],[CE OI]], "")</f>
        <v/>
      </c>
      <c r="L16" s="27" t="str">
        <f>IFERROR(BANKNIFTY_Option[[#This Row],[Oi above 50]]/LARGE(BANKNIFTY_Option[Oi above 50],1), "")</f>
        <v/>
      </c>
    </row>
    <row r="17" spans="2:12" x14ac:dyDescent="0.4">
      <c r="B17" s="30">
        <f t="shared" si="0"/>
        <v>0.85138846505950561</v>
      </c>
      <c r="C17" s="31">
        <f>IF(D17&gt;0.4, BANKNIFTY_Option[[#This Row],[PE OI]], "")</f>
        <v>13950</v>
      </c>
      <c r="D17" s="15">
        <f>BANKNIFTY_Option[[#This Row],[PE VOL]]/LARGE(BANKNIFTY_Option[PE VOL],1)</f>
        <v>0.55372555560188463</v>
      </c>
      <c r="E17" s="8">
        <v>13950</v>
      </c>
      <c r="F17" s="8">
        <v>13280</v>
      </c>
      <c r="G17" s="16">
        <v>51050</v>
      </c>
      <c r="H17" s="7">
        <v>21589</v>
      </c>
      <c r="I17" s="7">
        <v>10391</v>
      </c>
      <c r="J17" s="19">
        <f>BANKNIFTY_Option[[#This Row],[CE VOL]]/LARGE(BANKNIFTY_Option[CE VOL],1)</f>
        <v>0.99250643618977563</v>
      </c>
      <c r="K17">
        <f>IF(BANKNIFTY_Option[[#This Row],[VOL %]]&gt;0.4, BANKNIFTY_Option[[#This Row],[CE OI]], "")</f>
        <v>10391</v>
      </c>
      <c r="L17" s="27">
        <f>IFERROR(BANKNIFTY_Option[[#This Row],[Oi above 50]]/LARGE(BANKNIFTY_Option[Oi above 50],1), "")</f>
        <v>0.61935983787327886</v>
      </c>
    </row>
    <row r="18" spans="2:12" x14ac:dyDescent="0.4">
      <c r="B18" s="30" t="str">
        <f t="shared" si="0"/>
        <v/>
      </c>
      <c r="C18" s="31" t="str">
        <f>IF(D18&gt;0.4, BANKNIFTY_Option[[#This Row],[PE OI]], "")</f>
        <v/>
      </c>
      <c r="D18" s="15">
        <f>BANKNIFTY_Option[[#This Row],[PE VOL]]/LARGE(BANKNIFTY_Option[PE VOL],1)</f>
        <v>1.0382354167535338E-2</v>
      </c>
      <c r="E18" s="8">
        <v>217</v>
      </c>
      <c r="F18" s="8">
        <v>249</v>
      </c>
      <c r="G18" s="16">
        <v>50950</v>
      </c>
      <c r="H18" s="7">
        <v>530</v>
      </c>
      <c r="I18" s="7">
        <v>216</v>
      </c>
      <c r="J18" s="19">
        <f>BANKNIFTY_Option[[#This Row],[CE VOL]]/LARGE(BANKNIFTY_Option[CE VOL],1)</f>
        <v>2.436557557925708E-2</v>
      </c>
      <c r="K18" t="str">
        <f>IF(BANKNIFTY_Option[[#This Row],[VOL %]]&gt;0.4, BANKNIFTY_Option[[#This Row],[CE OI]], "")</f>
        <v/>
      </c>
      <c r="L18" s="27" t="str">
        <f>IFERROR(BANKNIFTY_Option[[#This Row],[Oi above 50]]/LARGE(BANKNIFTY_Option[Oi above 50],1), "")</f>
        <v/>
      </c>
    </row>
    <row r="19" spans="2:12" x14ac:dyDescent="0.4">
      <c r="B19" s="30" t="str">
        <f t="shared" si="0"/>
        <v/>
      </c>
      <c r="C19" s="31" t="str">
        <f>IF(D19&gt;0.4, BANKNIFTY_Option[[#This Row],[PE OI]], "")</f>
        <v/>
      </c>
      <c r="D19" s="15">
        <f>BANKNIFTY_Option[[#This Row],[PE VOL]]/LARGE(BANKNIFTY_Option[PE VOL],1)</f>
        <v>5.4163365717383144E-2</v>
      </c>
      <c r="E19" s="8">
        <v>339</v>
      </c>
      <c r="F19" s="8">
        <v>1299</v>
      </c>
      <c r="G19" s="16">
        <v>50850</v>
      </c>
      <c r="H19" s="7">
        <v>1617</v>
      </c>
      <c r="I19" s="7">
        <v>467</v>
      </c>
      <c r="J19" s="19">
        <f>BANKNIFTY_Option[[#This Row],[CE VOL]]/LARGE(BANKNIFTY_Option[CE VOL],1)</f>
        <v>7.4337991908789994E-2</v>
      </c>
      <c r="K19" t="str">
        <f>IF(BANKNIFTY_Option[[#This Row],[VOL %]]&gt;0.4, BANKNIFTY_Option[[#This Row],[CE OI]], "")</f>
        <v/>
      </c>
      <c r="L19" s="27" t="str">
        <f>IFERROR(BANKNIFTY_Option[[#This Row],[Oi above 50]]/LARGE(BANKNIFTY_Option[Oi above 50],1), "")</f>
        <v/>
      </c>
    </row>
    <row r="20" spans="2:12" x14ac:dyDescent="0.4">
      <c r="B20" s="30" t="str">
        <f t="shared" si="0"/>
        <v/>
      </c>
      <c r="C20" s="31" t="str">
        <f>IF(D20&gt;0.4, BANKNIFTY_Option[[#This Row],[PE OI]], "")</f>
        <v/>
      </c>
      <c r="D20" s="15">
        <f>BANKNIFTY_Option[[#This Row],[PE VOL]]/LARGE(BANKNIFTY_Option[PE VOL],1)</f>
        <v>1.9472126089313264E-2</v>
      </c>
      <c r="E20" s="8">
        <v>418</v>
      </c>
      <c r="F20" s="8">
        <v>467</v>
      </c>
      <c r="G20" s="16">
        <v>50750</v>
      </c>
      <c r="H20" s="7">
        <v>1105</v>
      </c>
      <c r="I20" s="7">
        <v>377</v>
      </c>
      <c r="J20" s="19">
        <f>BANKNIFTY_Option[[#This Row],[CE VOL]]/LARGE(BANKNIFTY_Option[CE VOL],1)</f>
        <v>5.0799926443545418E-2</v>
      </c>
      <c r="K20" t="str">
        <f>IF(BANKNIFTY_Option[[#This Row],[VOL %]]&gt;0.4, BANKNIFTY_Option[[#This Row],[CE OI]], "")</f>
        <v/>
      </c>
      <c r="L20" s="27" t="str">
        <f>IFERROR(BANKNIFTY_Option[[#This Row],[Oi above 50]]/LARGE(BANKNIFTY_Option[Oi above 50],1), "")</f>
        <v/>
      </c>
    </row>
    <row r="21" spans="2:12" x14ac:dyDescent="0.4">
      <c r="B21" s="30" t="str">
        <f t="shared" si="0"/>
        <v/>
      </c>
      <c r="C21" s="31" t="str">
        <f>IF(D21&gt;0.4, BANKNIFTY_Option[[#This Row],[PE OI]], "")</f>
        <v/>
      </c>
      <c r="D21" s="15">
        <f>BANKNIFTY_Option[[#This Row],[PE VOL]]/LARGE(BANKNIFTY_Option[PE VOL],1)</f>
        <v>3.5441771254638703E-2</v>
      </c>
      <c r="E21" s="8">
        <v>328</v>
      </c>
      <c r="F21" s="8">
        <v>850</v>
      </c>
      <c r="G21" s="16">
        <v>50650</v>
      </c>
      <c r="H21" s="7">
        <v>1265</v>
      </c>
      <c r="I21" s="7">
        <v>525</v>
      </c>
      <c r="J21" s="19">
        <f>BANKNIFTY_Option[[#This Row],[CE VOL]]/LARGE(BANKNIFTY_Option[CE VOL],1)</f>
        <v>5.8155571901434354E-2</v>
      </c>
      <c r="K21" t="str">
        <f>IF(BANKNIFTY_Option[[#This Row],[VOL %]]&gt;0.4, BANKNIFTY_Option[[#This Row],[CE OI]], "")</f>
        <v/>
      </c>
      <c r="L21" s="27" t="str">
        <f>IFERROR(BANKNIFTY_Option[[#This Row],[Oi above 50]]/LARGE(BANKNIFTY_Option[Oi above 50],1), "")</f>
        <v/>
      </c>
    </row>
    <row r="22" spans="2:12" x14ac:dyDescent="0.4">
      <c r="B22" s="30">
        <f t="shared" si="0"/>
        <v>0.35794934391211475</v>
      </c>
      <c r="C22" s="31">
        <f>IF(D22&gt;0.4, BANKNIFTY_Option[[#This Row],[PE OI]], "")</f>
        <v>5865</v>
      </c>
      <c r="D22" s="15">
        <f>BANKNIFTY_Option[[#This Row],[PE VOL]]/LARGE(BANKNIFTY_Option[PE VOL],1)</f>
        <v>0.5598132010173873</v>
      </c>
      <c r="E22" s="8">
        <v>5865</v>
      </c>
      <c r="F22" s="8">
        <v>13426</v>
      </c>
      <c r="G22" s="16">
        <v>50550</v>
      </c>
      <c r="H22" s="7">
        <v>7512</v>
      </c>
      <c r="I22" s="7">
        <v>2727</v>
      </c>
      <c r="J22" s="19">
        <f>BANKNIFTY_Option[[#This Row],[CE VOL]]/LARGE(BANKNIFTY_Option[CE VOL],1)</f>
        <v>0.34534755424788527</v>
      </c>
      <c r="K22" t="str">
        <f>IF(BANKNIFTY_Option[[#This Row],[VOL %]]&gt;0.4, BANKNIFTY_Option[[#This Row],[CE OI]], "")</f>
        <v/>
      </c>
      <c r="L22" s="27" t="str">
        <f>IFERROR(BANKNIFTY_Option[[#This Row],[Oi above 50]]/LARGE(BANKNIFTY_Option[Oi above 50],1), "")</f>
        <v/>
      </c>
    </row>
    <row r="23" spans="2:12" x14ac:dyDescent="0.4">
      <c r="B23" s="30" t="str">
        <f t="shared" si="0"/>
        <v/>
      </c>
      <c r="C23" s="31" t="str">
        <f>IF(D23&gt;0.4, BANKNIFTY_Option[[#This Row],[PE OI]], "")</f>
        <v/>
      </c>
      <c r="D23" s="15">
        <f>BANKNIFTY_Option[[#This Row],[PE VOL]]/LARGE(BANKNIFTY_Option[PE VOL],1)</f>
        <v>9.1064504023683449E-2</v>
      </c>
      <c r="E23" s="8">
        <v>363</v>
      </c>
      <c r="F23" s="8">
        <v>2184</v>
      </c>
      <c r="G23" s="16">
        <v>50450</v>
      </c>
      <c r="H23" s="7">
        <v>1106</v>
      </c>
      <c r="I23" s="7">
        <v>479</v>
      </c>
      <c r="J23" s="19">
        <f>BANKNIFTY_Option[[#This Row],[CE VOL]]/LARGE(BANKNIFTY_Option[CE VOL],1)</f>
        <v>5.0845899227657226E-2</v>
      </c>
      <c r="K23" t="str">
        <f>IF(BANKNIFTY_Option[[#This Row],[VOL %]]&gt;0.4, BANKNIFTY_Option[[#This Row],[CE OI]], "")</f>
        <v/>
      </c>
      <c r="L23" s="27" t="str">
        <f>IFERROR(BANKNIFTY_Option[[#This Row],[Oi above 50]]/LARGE(BANKNIFTY_Option[Oi above 50],1), "")</f>
        <v/>
      </c>
    </row>
    <row r="24" spans="2:12" x14ac:dyDescent="0.4">
      <c r="B24" s="30" t="str">
        <f>IFERROR(C24/LARGE($C$6:$C$45,1), "")</f>
        <v/>
      </c>
      <c r="C24" s="31" t="str">
        <f>IF(D24&gt;0.4, BANKNIFTY_Option[[#This Row],[PE OI]], "")</f>
        <v/>
      </c>
      <c r="D24" s="15">
        <f>BANKNIFTY_Option[[#This Row],[PE VOL]]/LARGE(BANKNIFTY_Option[PE VOL],1)</f>
        <v>9.1106200225159487E-2</v>
      </c>
      <c r="E24" s="8">
        <v>522</v>
      </c>
      <c r="F24" s="8">
        <v>2185</v>
      </c>
      <c r="G24" s="16">
        <v>50350</v>
      </c>
      <c r="H24" s="7">
        <v>1266</v>
      </c>
      <c r="I24" s="7">
        <v>341</v>
      </c>
      <c r="J24" s="19">
        <f>BANKNIFTY_Option[[#This Row],[CE VOL]]/LARGE(BANKNIFTY_Option[CE VOL],1)</f>
        <v>5.8201544685546155E-2</v>
      </c>
      <c r="K24" t="str">
        <f>IF(BANKNIFTY_Option[[#This Row],[VOL %]]&gt;0.4, BANKNIFTY_Option[[#This Row],[CE OI]], "")</f>
        <v/>
      </c>
      <c r="L24" s="27" t="str">
        <f>IFERROR(BANKNIFTY_Option[[#This Row],[Oi above 50]]/LARGE(BANKNIFTY_Option[Oi above 50],1), "")</f>
        <v/>
      </c>
    </row>
    <row r="25" spans="2:12" x14ac:dyDescent="0.4">
      <c r="B25" s="30" t="str">
        <f t="shared" ref="B25:B45" si="1">IFERROR(C25/LARGE($C$6:$C$45,1), "")</f>
        <v/>
      </c>
      <c r="C25" s="31" t="str">
        <f>IF(D25&gt;0.4, BANKNIFTY_Option[[#This Row],[PE OI]], "")</f>
        <v/>
      </c>
      <c r="D25" s="15">
        <f>BANKNIFTY_Option[[#This Row],[PE VOL]]/LARGE(BANKNIFTY_Option[PE VOL],1)</f>
        <v>0.37330609181503566</v>
      </c>
      <c r="E25" s="8">
        <v>695</v>
      </c>
      <c r="F25" s="8">
        <v>8953</v>
      </c>
      <c r="G25" s="16">
        <v>50250</v>
      </c>
      <c r="H25" s="7">
        <v>1354</v>
      </c>
      <c r="I25" s="7">
        <v>594</v>
      </c>
      <c r="J25" s="19">
        <f>BANKNIFTY_Option[[#This Row],[CE VOL]]/LARGE(BANKNIFTY_Option[CE VOL],1)</f>
        <v>6.2247149687385067E-2</v>
      </c>
      <c r="K25" t="str">
        <f>IF(BANKNIFTY_Option[[#This Row],[VOL %]]&gt;0.4, BANKNIFTY_Option[[#This Row],[CE OI]], "")</f>
        <v/>
      </c>
      <c r="L25" s="27" t="str">
        <f>IFERROR(BANKNIFTY_Option[[#This Row],[Oi above 50]]/LARGE(BANKNIFTY_Option[Oi above 50],1), "")</f>
        <v/>
      </c>
    </row>
    <row r="26" spans="2:12" x14ac:dyDescent="0.4">
      <c r="B26" s="30" t="str">
        <f t="shared" si="1"/>
        <v/>
      </c>
      <c r="C26" s="31" t="str">
        <f>IF(D26&gt;0.4, BANKNIFTY_Option[[#This Row],[PE OI]], "")</f>
        <v/>
      </c>
      <c r="D26" s="15">
        <f>BANKNIFTY_Option[[#This Row],[PE VOL]]/LARGE(BANKNIFTY_Option[PE VOL],1)</f>
        <v>5.3120960680482006E-2</v>
      </c>
      <c r="E26" s="8">
        <v>437</v>
      </c>
      <c r="F26" s="8">
        <v>1274</v>
      </c>
      <c r="G26" s="16">
        <v>50150</v>
      </c>
      <c r="H26" s="7">
        <v>780</v>
      </c>
      <c r="I26" s="7">
        <v>204</v>
      </c>
      <c r="J26" s="19">
        <f>BANKNIFTY_Option[[#This Row],[CE VOL]]/LARGE(BANKNIFTY_Option[CE VOL],1)</f>
        <v>3.5858771607208531E-2</v>
      </c>
      <c r="K26" t="str">
        <f>IF(BANKNIFTY_Option[[#This Row],[VOL %]]&gt;0.4, BANKNIFTY_Option[[#This Row],[CE OI]], "")</f>
        <v/>
      </c>
      <c r="L26" s="27" t="str">
        <f>IFERROR(BANKNIFTY_Option[[#This Row],[Oi above 50]]/LARGE(BANKNIFTY_Option[Oi above 50],1), "")</f>
        <v/>
      </c>
    </row>
    <row r="27" spans="2:12" x14ac:dyDescent="0.4">
      <c r="B27" s="30">
        <f t="shared" si="1"/>
        <v>1</v>
      </c>
      <c r="C27" s="31">
        <f>IF(D27&gt;0.4, BANKNIFTY_Option[[#This Row],[PE OI]], "")</f>
        <v>16385</v>
      </c>
      <c r="D27" s="15">
        <f>BANKNIFTY_Option[[#This Row],[PE VOL]]/LARGE(BANKNIFTY_Option[PE VOL],1)</f>
        <v>1</v>
      </c>
      <c r="E27" s="8">
        <v>16385</v>
      </c>
      <c r="F27" s="8">
        <v>23983</v>
      </c>
      <c r="G27" s="16">
        <v>50050</v>
      </c>
      <c r="H27" s="7">
        <v>9222</v>
      </c>
      <c r="I27" s="7">
        <v>4343</v>
      </c>
      <c r="J27" s="19">
        <f>BANKNIFTY_Option[[#This Row],[CE VOL]]/LARGE(BANKNIFTY_Option[CE VOL],1)</f>
        <v>0.42396101507907319</v>
      </c>
      <c r="K27">
        <f>IF(BANKNIFTY_Option[[#This Row],[VOL %]]&gt;0.4, BANKNIFTY_Option[[#This Row],[CE OI]], "")</f>
        <v>4343</v>
      </c>
      <c r="L27" s="27">
        <f>IFERROR(BANKNIFTY_Option[[#This Row],[Oi above 50]]/LARGE(BANKNIFTY_Option[Oi above 50],1), "")</f>
        <v>0.25886630506049951</v>
      </c>
    </row>
    <row r="28" spans="2:12" x14ac:dyDescent="0.4">
      <c r="B28" s="30" t="str">
        <f t="shared" si="1"/>
        <v/>
      </c>
      <c r="C28" s="31" t="str">
        <f>IF(D28&gt;0.4, BANKNIFTY_Option[[#This Row],[PE OI]], "")</f>
        <v/>
      </c>
      <c r="D28" s="15">
        <f>BANKNIFTY_Option[[#This Row],[PE VOL]]/LARGE(BANKNIFTY_Option[PE VOL],1)</f>
        <v>3.277321436017179E-2</v>
      </c>
      <c r="E28" s="8">
        <v>266</v>
      </c>
      <c r="F28" s="8">
        <v>786</v>
      </c>
      <c r="G28" s="16">
        <v>49950</v>
      </c>
      <c r="H28" s="7">
        <v>84</v>
      </c>
      <c r="I28" s="7">
        <v>70</v>
      </c>
      <c r="J28" s="19">
        <f>BANKNIFTY_Option[[#This Row],[CE VOL]]/LARGE(BANKNIFTY_Option[CE VOL],1)</f>
        <v>3.8617138653916881E-3</v>
      </c>
      <c r="K28" t="str">
        <f>IF(BANKNIFTY_Option[[#This Row],[VOL %]]&gt;0.4, BANKNIFTY_Option[[#This Row],[CE OI]], "")</f>
        <v/>
      </c>
      <c r="L28" s="27" t="str">
        <f>IFERROR(BANKNIFTY_Option[[#This Row],[Oi above 50]]/LARGE(BANKNIFTY_Option[Oi above 50],1), "")</f>
        <v/>
      </c>
    </row>
    <row r="29" spans="2:12" x14ac:dyDescent="0.4">
      <c r="B29" s="30" t="str">
        <f t="shared" si="1"/>
        <v/>
      </c>
      <c r="C29" s="31" t="str">
        <f>IF(D29&gt;0.4, BANKNIFTY_Option[[#This Row],[PE OI]], "")</f>
        <v/>
      </c>
      <c r="D29" s="15">
        <f>BANKNIFTY_Option[[#This Row],[PE VOL]]/LARGE(BANKNIFTY_Option[PE VOL],1)</f>
        <v>3.5191594045782426E-2</v>
      </c>
      <c r="E29" s="8">
        <v>221</v>
      </c>
      <c r="F29" s="8">
        <v>844</v>
      </c>
      <c r="G29" s="16">
        <v>49850</v>
      </c>
      <c r="H29" s="7">
        <v>24</v>
      </c>
      <c r="I29" s="7">
        <v>61</v>
      </c>
      <c r="J29" s="19">
        <f>BANKNIFTY_Option[[#This Row],[CE VOL]]/LARGE(BANKNIFTY_Option[CE VOL],1)</f>
        <v>1.1033468186833395E-3</v>
      </c>
      <c r="K29" t="str">
        <f>IF(BANKNIFTY_Option[[#This Row],[VOL %]]&gt;0.4, BANKNIFTY_Option[[#This Row],[CE OI]], "")</f>
        <v/>
      </c>
      <c r="L29" s="27" t="str">
        <f>IFERROR(BANKNIFTY_Option[[#This Row],[Oi above 50]]/LARGE(BANKNIFTY_Option[Oi above 50],1), "")</f>
        <v/>
      </c>
    </row>
    <row r="30" spans="2:12" x14ac:dyDescent="0.4">
      <c r="B30" s="30" t="str">
        <f t="shared" si="1"/>
        <v/>
      </c>
      <c r="C30" s="31" t="str">
        <f>IF(D30&gt;0.4, BANKNIFTY_Option[[#This Row],[PE OI]], "")</f>
        <v/>
      </c>
      <c r="D30" s="15">
        <f>BANKNIFTY_Option[[#This Row],[PE VOL]]/LARGE(BANKNIFTY_Option[PE VOL],1)</f>
        <v>1.3175999666430389E-2</v>
      </c>
      <c r="E30" s="8">
        <v>169</v>
      </c>
      <c r="F30" s="8">
        <v>316</v>
      </c>
      <c r="G30" s="16">
        <v>49750</v>
      </c>
      <c r="H30" s="7">
        <v>0</v>
      </c>
      <c r="I30" s="7">
        <v>0</v>
      </c>
      <c r="J30" s="19">
        <f>BANKNIFTY_Option[[#This Row],[CE VOL]]/LARGE(BANKNIFTY_Option[CE VOL],1)</f>
        <v>0</v>
      </c>
      <c r="K30" t="str">
        <f>IF(BANKNIFTY_Option[[#This Row],[VOL %]]&gt;0.4, BANKNIFTY_Option[[#This Row],[CE OI]], "")</f>
        <v/>
      </c>
      <c r="L30" s="27" t="str">
        <f>IFERROR(BANKNIFTY_Option[[#This Row],[Oi above 50]]/LARGE(BANKNIFTY_Option[Oi above 50],1), "")</f>
        <v/>
      </c>
    </row>
    <row r="31" spans="2:12" x14ac:dyDescent="0.4">
      <c r="B31" s="30" t="str">
        <f t="shared" si="1"/>
        <v/>
      </c>
      <c r="C31" s="31" t="str">
        <f>IF(D31&gt;0.4, BANKNIFTY_Option[[#This Row],[PE OI]], "")</f>
        <v/>
      </c>
      <c r="D31" s="15">
        <f>BANKNIFTY_Option[[#This Row],[PE VOL]]/LARGE(BANKNIFTY_Option[PE VOL],1)</f>
        <v>1.5135721135804529E-2</v>
      </c>
      <c r="E31" s="8">
        <v>111</v>
      </c>
      <c r="F31" s="8">
        <v>363</v>
      </c>
      <c r="G31" s="16">
        <v>49650</v>
      </c>
      <c r="H31" s="7">
        <v>18</v>
      </c>
      <c r="I31" s="7">
        <v>10</v>
      </c>
      <c r="J31" s="19">
        <f>BANKNIFTY_Option[[#This Row],[CE VOL]]/LARGE(BANKNIFTY_Option[CE VOL],1)</f>
        <v>8.2751011401250457E-4</v>
      </c>
      <c r="K31" t="str">
        <f>IF(BANKNIFTY_Option[[#This Row],[VOL %]]&gt;0.4, BANKNIFTY_Option[[#This Row],[CE OI]], "")</f>
        <v/>
      </c>
      <c r="L31" s="27" t="str">
        <f>IFERROR(BANKNIFTY_Option[[#This Row],[Oi above 50]]/LARGE(BANKNIFTY_Option[Oi above 50],1), "")</f>
        <v/>
      </c>
    </row>
    <row r="32" spans="2:12" x14ac:dyDescent="0.4">
      <c r="B32" s="30" t="str">
        <f t="shared" si="1"/>
        <v/>
      </c>
      <c r="C32" s="31" t="str">
        <f>IF(D32&gt;0.4, BANKNIFTY_Option[[#This Row],[PE OI]], "")</f>
        <v/>
      </c>
      <c r="D32" s="15">
        <f>BANKNIFTY_Option[[#This Row],[PE VOL]]/LARGE(BANKNIFTY_Option[PE VOL],1)</f>
        <v>0.34470249760246841</v>
      </c>
      <c r="E32" s="8">
        <v>8145</v>
      </c>
      <c r="F32" s="8">
        <v>8267</v>
      </c>
      <c r="G32" s="16">
        <v>49550</v>
      </c>
      <c r="H32" s="7">
        <v>652</v>
      </c>
      <c r="I32" s="7">
        <v>409</v>
      </c>
      <c r="J32" s="19">
        <f>BANKNIFTY_Option[[#This Row],[CE VOL]]/LARGE(BANKNIFTY_Option[CE VOL],1)</f>
        <v>2.9974255240897387E-2</v>
      </c>
      <c r="K32" t="str">
        <f>IF(BANKNIFTY_Option[[#This Row],[VOL %]]&gt;0.4, BANKNIFTY_Option[[#This Row],[CE OI]], "")</f>
        <v/>
      </c>
      <c r="L32" s="27" t="str">
        <f>IFERROR(BANKNIFTY_Option[[#This Row],[Oi above 50]]/LARGE(BANKNIFTY_Option[Oi above 50],1), "")</f>
        <v/>
      </c>
    </row>
    <row r="33" spans="2:12" x14ac:dyDescent="0.4">
      <c r="B33" s="30" t="str">
        <f t="shared" si="1"/>
        <v/>
      </c>
      <c r="C33" s="31" t="str">
        <f>IF(D33&gt;0.4, BANKNIFTY_Option[[#This Row],[PE OI]], "")</f>
        <v/>
      </c>
      <c r="D33" s="15">
        <f>BANKNIFTY_Option[[#This Row],[PE VOL]]/LARGE(BANKNIFTY_Option[PE VOL],1)</f>
        <v>1.5010632531376391E-3</v>
      </c>
      <c r="E33" s="8">
        <v>66</v>
      </c>
      <c r="F33" s="8">
        <v>36</v>
      </c>
      <c r="G33" s="16">
        <v>49450</v>
      </c>
      <c r="H33" s="7">
        <v>0</v>
      </c>
      <c r="I33" s="7">
        <v>8</v>
      </c>
      <c r="J33" s="19">
        <f>BANKNIFTY_Option[[#This Row],[CE VOL]]/LARGE(BANKNIFTY_Option[CE VOL],1)</f>
        <v>0</v>
      </c>
      <c r="K33" t="str">
        <f>IF(BANKNIFTY_Option[[#This Row],[VOL %]]&gt;0.4, BANKNIFTY_Option[[#This Row],[CE OI]], "")</f>
        <v/>
      </c>
      <c r="L33" s="27" t="str">
        <f>IFERROR(BANKNIFTY_Option[[#This Row],[Oi above 50]]/LARGE(BANKNIFTY_Option[Oi above 50],1), "")</f>
        <v/>
      </c>
    </row>
    <row r="34" spans="2:12" x14ac:dyDescent="0.4">
      <c r="B34" s="30" t="str">
        <f t="shared" si="1"/>
        <v/>
      </c>
      <c r="C34" s="31" t="str">
        <f>IF(D34&gt;0.4, BANKNIFTY_Option[[#This Row],[PE OI]], "")</f>
        <v/>
      </c>
      <c r="D34" s="15">
        <f>BANKNIFTY_Option[[#This Row],[PE VOL]]/LARGE(BANKNIFTY_Option[PE VOL],1)</f>
        <v>1.1257974398532294E-3</v>
      </c>
      <c r="E34" s="8">
        <v>65</v>
      </c>
      <c r="F34" s="8">
        <v>27</v>
      </c>
      <c r="G34" s="16">
        <v>49350</v>
      </c>
      <c r="H34" s="7">
        <v>4</v>
      </c>
      <c r="I34" s="7">
        <v>19</v>
      </c>
      <c r="J34" s="19">
        <f>BANKNIFTY_Option[[#This Row],[CE VOL]]/LARGE(BANKNIFTY_Option[CE VOL],1)</f>
        <v>1.8389113644722325E-4</v>
      </c>
      <c r="K34" t="str">
        <f>IF(BANKNIFTY_Option[[#This Row],[VOL %]]&gt;0.4, BANKNIFTY_Option[[#This Row],[CE OI]], "")</f>
        <v/>
      </c>
      <c r="L34" s="27" t="str">
        <f>IFERROR(BANKNIFTY_Option[[#This Row],[Oi above 50]]/LARGE(BANKNIFTY_Option[Oi above 50],1), "")</f>
        <v/>
      </c>
    </row>
    <row r="35" spans="2:12" x14ac:dyDescent="0.4">
      <c r="B35" s="30" t="str">
        <f t="shared" si="1"/>
        <v/>
      </c>
      <c r="C35" s="31" t="str">
        <f>IF(D35&gt;0.4, BANKNIFTY_Option[[#This Row],[PE OI]], "")</f>
        <v/>
      </c>
      <c r="D35" s="15">
        <f>BANKNIFTY_Option[[#This Row],[PE VOL]]/LARGE(BANKNIFTY_Option[PE VOL],1)</f>
        <v>5.2537213859817373E-3</v>
      </c>
      <c r="E35" s="8">
        <v>218</v>
      </c>
      <c r="F35" s="8">
        <v>126</v>
      </c>
      <c r="G35" s="16">
        <v>49250</v>
      </c>
      <c r="H35" s="7">
        <v>14</v>
      </c>
      <c r="I35" s="7">
        <v>68</v>
      </c>
      <c r="J35" s="19">
        <f>BANKNIFTY_Option[[#This Row],[CE VOL]]/LARGE(BANKNIFTY_Option[CE VOL],1)</f>
        <v>6.4361897756528132E-4</v>
      </c>
      <c r="K35" t="str">
        <f>IF(BANKNIFTY_Option[[#This Row],[VOL %]]&gt;0.4, BANKNIFTY_Option[[#This Row],[CE OI]], "")</f>
        <v/>
      </c>
      <c r="L35" s="27" t="str">
        <f>IFERROR(BANKNIFTY_Option[[#This Row],[Oi above 50]]/LARGE(BANKNIFTY_Option[Oi above 50],1), "")</f>
        <v/>
      </c>
    </row>
    <row r="36" spans="2:12" x14ac:dyDescent="0.4">
      <c r="B36" s="30" t="str">
        <f t="shared" si="1"/>
        <v/>
      </c>
      <c r="C36" s="31" t="str">
        <f>IF(D36&gt;0.4, BANKNIFTY_Option[[#This Row],[PE OI]], "")</f>
        <v/>
      </c>
      <c r="D36" s="15">
        <f>BANKNIFTY_Option[[#This Row],[PE VOL]]/LARGE(BANKNIFTY_Option[PE VOL],1)</f>
        <v>7.9222782804486515E-4</v>
      </c>
      <c r="E36" s="8">
        <v>10</v>
      </c>
      <c r="F36" s="8">
        <v>19</v>
      </c>
      <c r="G36" s="16">
        <v>49150</v>
      </c>
      <c r="H36" s="7">
        <v>0</v>
      </c>
      <c r="I36" s="7">
        <v>0</v>
      </c>
      <c r="J36" s="19">
        <f>BANKNIFTY_Option[[#This Row],[CE VOL]]/LARGE(BANKNIFTY_Option[CE VOL],1)</f>
        <v>0</v>
      </c>
      <c r="K36" t="str">
        <f>IF(BANKNIFTY_Option[[#This Row],[VOL %]]&gt;0.4, BANKNIFTY_Option[[#This Row],[CE OI]], "")</f>
        <v/>
      </c>
      <c r="L36" s="27" t="str">
        <f>IFERROR(BANKNIFTY_Option[[#This Row],[Oi above 50]]/LARGE(BANKNIFTY_Option[Oi above 50],1), "")</f>
        <v/>
      </c>
    </row>
    <row r="37" spans="2:12" x14ac:dyDescent="0.4">
      <c r="B37" s="30">
        <f t="shared" si="1"/>
        <v>0.81318278913640529</v>
      </c>
      <c r="C37" s="31">
        <f>IF(D37&gt;0.4, BANKNIFTY_Option[[#This Row],[PE OI]], "")</f>
        <v>13324</v>
      </c>
      <c r="D37" s="15">
        <f>BANKNIFTY_Option[[#This Row],[PE VOL]]/LARGE(BANKNIFTY_Option[PE VOL],1)</f>
        <v>0.62527623733477877</v>
      </c>
      <c r="E37" s="8">
        <v>13324</v>
      </c>
      <c r="F37" s="8">
        <v>14996</v>
      </c>
      <c r="G37" s="16">
        <v>49050</v>
      </c>
      <c r="H37" s="7">
        <v>1263</v>
      </c>
      <c r="I37" s="7">
        <v>1132</v>
      </c>
      <c r="J37" s="19">
        <f>BANKNIFTY_Option[[#This Row],[CE VOL]]/LARGE(BANKNIFTY_Option[CE VOL],1)</f>
        <v>5.8063626333210737E-2</v>
      </c>
      <c r="K37" t="str">
        <f>IF(BANKNIFTY_Option[[#This Row],[VOL %]]&gt;0.4, BANKNIFTY_Option[[#This Row],[CE OI]], "")</f>
        <v/>
      </c>
      <c r="L37" s="27" t="str">
        <f>IFERROR(BANKNIFTY_Option[[#This Row],[Oi above 50]]/LARGE(BANKNIFTY_Option[Oi above 50],1), "")</f>
        <v/>
      </c>
    </row>
    <row r="38" spans="2:12" x14ac:dyDescent="0.4">
      <c r="B38" s="30" t="str">
        <f t="shared" si="1"/>
        <v/>
      </c>
      <c r="C38" s="31" t="str">
        <f>IF(D38&gt;0.4, BANKNIFTY_Option[[#This Row],[PE OI]], "")</f>
        <v/>
      </c>
      <c r="D38" s="15">
        <f>BANKNIFTY_Option[[#This Row],[PE VOL]]/LARGE(BANKNIFTY_Option[PE VOL],1)</f>
        <v>2.4600758870866866E-3</v>
      </c>
      <c r="E38" s="8">
        <v>100</v>
      </c>
      <c r="F38" s="8">
        <v>59</v>
      </c>
      <c r="G38" s="16">
        <v>48950</v>
      </c>
      <c r="H38" s="7">
        <v>0</v>
      </c>
      <c r="I38" s="7">
        <v>3</v>
      </c>
      <c r="J38" s="19">
        <f>BANKNIFTY_Option[[#This Row],[CE VOL]]/LARGE(BANKNIFTY_Option[CE VOL],1)</f>
        <v>0</v>
      </c>
      <c r="K38" t="str">
        <f>IF(BANKNIFTY_Option[[#This Row],[VOL %]]&gt;0.4, BANKNIFTY_Option[[#This Row],[CE OI]], "")</f>
        <v/>
      </c>
      <c r="L38" s="27" t="str">
        <f>IFERROR(BANKNIFTY_Option[[#This Row],[Oi above 50]]/LARGE(BANKNIFTY_Option[Oi above 50],1), "")</f>
        <v/>
      </c>
    </row>
    <row r="39" spans="2:12" x14ac:dyDescent="0.4">
      <c r="B39" s="30" t="str">
        <f t="shared" si="1"/>
        <v/>
      </c>
      <c r="C39" s="31" t="str">
        <f>IF(D39&gt;0.4, BANKNIFTY_Option[[#This Row],[PE OI]], "")</f>
        <v/>
      </c>
      <c r="D39" s="15">
        <f>BANKNIFTY_Option[[#This Row],[PE VOL]]/LARGE(BANKNIFTY_Option[PE VOL],1)</f>
        <v>0</v>
      </c>
      <c r="E39" s="8">
        <v>55</v>
      </c>
      <c r="F39" s="8">
        <v>0</v>
      </c>
      <c r="G39" s="16">
        <v>48850</v>
      </c>
      <c r="H39" s="7">
        <v>0</v>
      </c>
      <c r="I39" s="7">
        <v>3</v>
      </c>
      <c r="J39" s="19">
        <f>BANKNIFTY_Option[[#This Row],[CE VOL]]/LARGE(BANKNIFTY_Option[CE VOL],1)</f>
        <v>0</v>
      </c>
      <c r="K39" t="str">
        <f>IF(BANKNIFTY_Option[[#This Row],[VOL %]]&gt;0.4, BANKNIFTY_Option[[#This Row],[CE OI]], "")</f>
        <v/>
      </c>
      <c r="L39" s="27" t="str">
        <f>IFERROR(BANKNIFTY_Option[[#This Row],[Oi above 50]]/LARGE(BANKNIFTY_Option[Oi above 50],1), "")</f>
        <v/>
      </c>
    </row>
    <row r="40" spans="2:12" x14ac:dyDescent="0.4">
      <c r="B40" s="30" t="str">
        <f t="shared" si="1"/>
        <v/>
      </c>
      <c r="C40" s="31" t="str">
        <f>IF(D40&gt;0.4, BANKNIFTY_Option[[#This Row],[PE OI]], "")</f>
        <v/>
      </c>
      <c r="D40" s="15">
        <f>BANKNIFTY_Option[[#This Row],[PE VOL]]/LARGE(BANKNIFTY_Option[PE VOL],1)</f>
        <v>4.1696201476045533E-4</v>
      </c>
      <c r="E40" s="8">
        <v>61</v>
      </c>
      <c r="F40" s="8">
        <v>10</v>
      </c>
      <c r="G40" s="16">
        <v>48750</v>
      </c>
      <c r="H40" s="7">
        <v>6</v>
      </c>
      <c r="I40" s="7">
        <v>3</v>
      </c>
      <c r="J40" s="19">
        <f>BANKNIFTY_Option[[#This Row],[CE VOL]]/LARGE(BANKNIFTY_Option[CE VOL],1)</f>
        <v>2.7583670467083487E-4</v>
      </c>
      <c r="K40" t="str">
        <f>IF(BANKNIFTY_Option[[#This Row],[VOL %]]&gt;0.4, BANKNIFTY_Option[[#This Row],[CE OI]], "")</f>
        <v/>
      </c>
      <c r="L40" s="27" t="str">
        <f>IFERROR(BANKNIFTY_Option[[#This Row],[Oi above 50]]/LARGE(BANKNIFTY_Option[Oi above 50],1), "")</f>
        <v/>
      </c>
    </row>
    <row r="41" spans="2:12" x14ac:dyDescent="0.4">
      <c r="B41" s="30" t="str">
        <f t="shared" si="1"/>
        <v/>
      </c>
      <c r="C41" s="31" t="str">
        <f>IF(D41&gt;0.4, BANKNIFTY_Option[[#This Row],[PE OI]], "")</f>
        <v/>
      </c>
      <c r="D41" s="15">
        <f>BANKNIFTY_Option[[#This Row],[PE VOL]]/LARGE(BANKNIFTY_Option[PE VOL],1)</f>
        <v>1.2508860442813659E-4</v>
      </c>
      <c r="E41" s="8">
        <v>5</v>
      </c>
      <c r="F41" s="8">
        <v>3</v>
      </c>
      <c r="G41" s="16">
        <v>48650</v>
      </c>
      <c r="H41" s="7">
        <v>0</v>
      </c>
      <c r="I41" s="7">
        <v>0</v>
      </c>
      <c r="J41" s="19">
        <f>BANKNIFTY_Option[[#This Row],[CE VOL]]/LARGE(BANKNIFTY_Option[CE VOL],1)</f>
        <v>0</v>
      </c>
      <c r="K41" t="str">
        <f>IF(BANKNIFTY_Option[[#This Row],[VOL %]]&gt;0.4, BANKNIFTY_Option[[#This Row],[CE OI]], "")</f>
        <v/>
      </c>
      <c r="L41" s="27" t="str">
        <f>IFERROR(BANKNIFTY_Option[[#This Row],[Oi above 50]]/LARGE(BANKNIFTY_Option[Oi above 50],1), "")</f>
        <v/>
      </c>
    </row>
    <row r="42" spans="2:12" x14ac:dyDescent="0.4">
      <c r="B42" s="30" t="str">
        <f t="shared" si="1"/>
        <v/>
      </c>
      <c r="C42" s="31" t="str">
        <f>IF(D42&gt;0.4, BANKNIFTY_Option[[#This Row],[PE OI]], "")</f>
        <v/>
      </c>
      <c r="D42" s="15">
        <f>BANKNIFTY_Option[[#This Row],[PE VOL]]/LARGE(BANKNIFTY_Option[PE VOL],1)</f>
        <v>0.26439561355960473</v>
      </c>
      <c r="E42" s="8">
        <v>5087</v>
      </c>
      <c r="F42" s="8">
        <v>6341</v>
      </c>
      <c r="G42" s="16">
        <v>48550</v>
      </c>
      <c r="H42" s="7">
        <v>13</v>
      </c>
      <c r="I42" s="7">
        <v>87</v>
      </c>
      <c r="J42" s="19">
        <f>BANKNIFTY_Option[[#This Row],[CE VOL]]/LARGE(BANKNIFTY_Option[CE VOL],1)</f>
        <v>5.9764619345347553E-4</v>
      </c>
      <c r="K42" t="str">
        <f>IF(BANKNIFTY_Option[[#This Row],[VOL %]]&gt;0.4, BANKNIFTY_Option[[#This Row],[CE OI]], "")</f>
        <v/>
      </c>
      <c r="L42" s="27" t="str">
        <f>IFERROR(BANKNIFTY_Option[[#This Row],[Oi above 50]]/LARGE(BANKNIFTY_Option[Oi above 50],1), "")</f>
        <v/>
      </c>
    </row>
    <row r="43" spans="2:12" x14ac:dyDescent="0.4">
      <c r="B43" s="30" t="str">
        <f t="shared" si="1"/>
        <v/>
      </c>
      <c r="C43" s="31" t="str">
        <f>IF(D43&gt;0.4, BANKNIFTY_Option[[#This Row],[PE OI]], "")</f>
        <v/>
      </c>
      <c r="D43" s="15">
        <f>BANKNIFTY_Option[[#This Row],[PE VOL]]/LARGE(BANKNIFTY_Option[PE VOL],1)</f>
        <v>2.5017720885627318E-4</v>
      </c>
      <c r="E43" s="8">
        <v>6</v>
      </c>
      <c r="F43" s="8">
        <v>6</v>
      </c>
      <c r="G43" s="16">
        <v>48450</v>
      </c>
      <c r="H43" s="7">
        <v>5</v>
      </c>
      <c r="I43" s="7">
        <v>5</v>
      </c>
      <c r="J43" s="19">
        <f>BANKNIFTY_Option[[#This Row],[CE VOL]]/LARGE(BANKNIFTY_Option[CE VOL],1)</f>
        <v>2.2986392055902906E-4</v>
      </c>
      <c r="K43" t="str">
        <f>IF(BANKNIFTY_Option[[#This Row],[VOL %]]&gt;0.4, BANKNIFTY_Option[[#This Row],[CE OI]], "")</f>
        <v/>
      </c>
      <c r="L43" s="27" t="str">
        <f>IFERROR(BANKNIFTY_Option[[#This Row],[Oi above 50]]/LARGE(BANKNIFTY_Option[Oi above 50],1), "")</f>
        <v/>
      </c>
    </row>
    <row r="44" spans="2:12" x14ac:dyDescent="0.4">
      <c r="B44" s="30" t="str">
        <f t="shared" si="1"/>
        <v/>
      </c>
      <c r="C44" s="31" t="str">
        <f>IF(D44&gt;0.4, BANKNIFTY_Option[[#This Row],[PE OI]], "")</f>
        <v/>
      </c>
      <c r="D44" s="15">
        <f>BANKNIFTY_Option[[#This Row],[PE VOL]]/LARGE(BANKNIFTY_Option[PE VOL],1)</f>
        <v>0</v>
      </c>
      <c r="E44" s="8">
        <v>10</v>
      </c>
      <c r="F44" s="8">
        <v>0</v>
      </c>
      <c r="G44" s="16">
        <v>48350</v>
      </c>
      <c r="H44" s="7">
        <v>6</v>
      </c>
      <c r="I44" s="7">
        <v>6</v>
      </c>
      <c r="J44" s="19">
        <f>BANKNIFTY_Option[[#This Row],[CE VOL]]/LARGE(BANKNIFTY_Option[CE VOL],1)</f>
        <v>2.7583670467083487E-4</v>
      </c>
      <c r="K44" t="str">
        <f>IF(BANKNIFTY_Option[[#This Row],[VOL %]]&gt;0.4, BANKNIFTY_Option[[#This Row],[CE OI]], "")</f>
        <v/>
      </c>
      <c r="L44" s="27" t="str">
        <f>IFERROR(BANKNIFTY_Option[[#This Row],[Oi above 50]]/LARGE(BANKNIFTY_Option[Oi above 50],1), "")</f>
        <v/>
      </c>
    </row>
    <row r="45" spans="2:12" x14ac:dyDescent="0.4">
      <c r="B45" s="30" t="str">
        <f t="shared" si="1"/>
        <v/>
      </c>
      <c r="C45" s="31" t="str">
        <f>IF(D45&gt;0.4, BANKNIFTY_Option[[#This Row],[PE OI]], "")</f>
        <v/>
      </c>
      <c r="D45" s="15">
        <f>BANKNIFTY_Option[[#This Row],[PE VOL]]/LARGE(BANKNIFTY_Option[PE VOL],1)</f>
        <v>1.0590835174915565E-2</v>
      </c>
      <c r="E45" s="8">
        <v>188</v>
      </c>
      <c r="F45" s="8">
        <v>254</v>
      </c>
      <c r="G45" s="16">
        <v>48250</v>
      </c>
      <c r="H45" s="7">
        <v>8</v>
      </c>
      <c r="I45" s="7">
        <v>8</v>
      </c>
      <c r="J45" s="19">
        <f>BANKNIFTY_Option[[#This Row],[CE VOL]]/LARGE(BANKNIFTY_Option[CE VOL],1)</f>
        <v>3.677822728944465E-4</v>
      </c>
      <c r="K45" t="str">
        <f>IF(BANKNIFTY_Option[[#This Row],[VOL %]]&gt;0.4, BANKNIFTY_Option[[#This Row],[CE OI]], "")</f>
        <v/>
      </c>
      <c r="L45" s="27" t="str">
        <f>IFERROR(BANKNIFTY_Option[[#This Row],[Oi above 50]]/LARGE(BANKNIFTY_Option[Oi above 50],1), "")</f>
        <v/>
      </c>
    </row>
  </sheetData>
  <phoneticPr fontId="10" type="noConversion"/>
  <conditionalFormatting sqref="D6:D45">
    <cfRule type="expression" dxfId="81" priority="7">
      <formula>OR(AND(D6=LARGE($D:$D,1), D6*0.8&lt;=LARGE($D:$D,2)), AND(D6=LARGE($D:$D,2), D6&gt;=LARGE($D:$D,1)*0.8))</formula>
    </cfRule>
    <cfRule type="expression" dxfId="80" priority="8">
      <formula>D6=LARGE($D:$D,3)</formula>
    </cfRule>
    <cfRule type="expression" dxfId="79" priority="9">
      <formula>D6=LARGE($D:$D,2)</formula>
    </cfRule>
    <cfRule type="top10" dxfId="78" priority="10" rank="1"/>
    <cfRule type="expression" dxfId="77" priority="11">
      <formula>D6&gt;=0.4</formula>
    </cfRule>
  </conditionalFormatting>
  <conditionalFormatting sqref="J6:J45">
    <cfRule type="expression" dxfId="76" priority="395">
      <formula>OR(AND(J6=LARGE($J:$J,1), J6*0.8&lt;=LARGE($J:$J,2)), AND(J6=LARGE($J:$J,2), J6&gt;=LARGE($J:$J,1)*0.8))</formula>
    </cfRule>
    <cfRule type="expression" dxfId="75" priority="396">
      <formula>J6=LARGE($J:$J,3)</formula>
    </cfRule>
    <cfRule type="expression" dxfId="74" priority="397">
      <formula>J6=LARGE($J:$J,2)</formula>
    </cfRule>
    <cfRule type="top10" dxfId="73" priority="398" rank="1"/>
    <cfRule type="expression" dxfId="72" priority="399">
      <formula>J6&gt;=0.4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5C71B968-DC20-4066-BBE4-730EECE4623E}">
            <xm:f>'Cookies And Miscellaneous'!$D$20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G6:G45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E44B8-AA63-4236-9661-B2645DB6CD63}">
  <dimension ref="E5:I45"/>
  <sheetViews>
    <sheetView zoomScale="107" workbookViewId="0">
      <selection activeCell="K28" sqref="K28"/>
    </sheetView>
  </sheetViews>
  <sheetFormatPr defaultRowHeight="14.6" x14ac:dyDescent="0.4"/>
  <cols>
    <col min="5" max="5" width="5.84375" bestFit="1" customWidth="1"/>
    <col min="6" max="6" width="6.84375" bestFit="1" customWidth="1"/>
    <col min="7" max="7" width="6.3046875" bestFit="1" customWidth="1"/>
    <col min="8" max="8" width="6.84375" bestFit="1" customWidth="1"/>
    <col min="9" max="9" width="5.84375" bestFit="1" customWidth="1"/>
  </cols>
  <sheetData>
    <row r="5" spans="5:9" x14ac:dyDescent="0.4">
      <c r="E5" s="40" t="s">
        <v>1</v>
      </c>
      <c r="F5" s="40" t="s">
        <v>2</v>
      </c>
      <c r="G5" s="42" t="s">
        <v>3</v>
      </c>
      <c r="H5" s="41" t="s">
        <v>4</v>
      </c>
      <c r="I5" s="41" t="s">
        <v>5</v>
      </c>
    </row>
    <row r="6" spans="5:9" x14ac:dyDescent="0.4">
      <c r="E6" s="38">
        <v>512</v>
      </c>
      <c r="F6" s="38">
        <v>10</v>
      </c>
      <c r="G6" s="42">
        <v>24200</v>
      </c>
      <c r="H6" s="39">
        <v>232894</v>
      </c>
      <c r="I6" s="39">
        <v>30867</v>
      </c>
    </row>
    <row r="7" spans="5:9" x14ac:dyDescent="0.4">
      <c r="E7" s="38">
        <v>235</v>
      </c>
      <c r="F7" s="38">
        <v>5</v>
      </c>
      <c r="G7" s="42">
        <v>24150</v>
      </c>
      <c r="H7" s="39">
        <v>95966</v>
      </c>
      <c r="I7" s="39">
        <v>9717</v>
      </c>
    </row>
    <row r="8" spans="5:9" x14ac:dyDescent="0.4">
      <c r="E8" s="38">
        <v>394</v>
      </c>
      <c r="F8" s="38">
        <v>105</v>
      </c>
      <c r="G8" s="42">
        <v>24100</v>
      </c>
      <c r="H8" s="39">
        <v>255313</v>
      </c>
      <c r="I8" s="39">
        <v>21184</v>
      </c>
    </row>
    <row r="9" spans="5:9" x14ac:dyDescent="0.4">
      <c r="E9" s="38">
        <v>347</v>
      </c>
      <c r="F9" s="38">
        <v>10</v>
      </c>
      <c r="G9" s="42">
        <v>24050</v>
      </c>
      <c r="H9" s="39">
        <v>176682</v>
      </c>
      <c r="I9" s="39">
        <v>11316</v>
      </c>
    </row>
    <row r="10" spans="5:9" x14ac:dyDescent="0.4">
      <c r="E10" s="38">
        <v>4017</v>
      </c>
      <c r="F10" s="38">
        <v>171</v>
      </c>
      <c r="G10" s="42">
        <v>24000</v>
      </c>
      <c r="H10" s="39">
        <v>593109</v>
      </c>
      <c r="I10" s="39">
        <v>75384</v>
      </c>
    </row>
    <row r="11" spans="5:9" x14ac:dyDescent="0.4">
      <c r="E11" s="38">
        <v>968</v>
      </c>
      <c r="F11" s="38">
        <v>74</v>
      </c>
      <c r="G11" s="42">
        <v>23950</v>
      </c>
      <c r="H11" s="39">
        <v>196361</v>
      </c>
      <c r="I11" s="39">
        <v>12024</v>
      </c>
    </row>
    <row r="12" spans="5:9" x14ac:dyDescent="0.4">
      <c r="E12" s="38">
        <v>2460</v>
      </c>
      <c r="F12" s="38">
        <v>350</v>
      </c>
      <c r="G12" s="42">
        <v>23900</v>
      </c>
      <c r="H12" s="39">
        <v>358991</v>
      </c>
      <c r="I12" s="39">
        <v>21101</v>
      </c>
    </row>
    <row r="13" spans="5:9" x14ac:dyDescent="0.4">
      <c r="E13" s="38">
        <v>1331</v>
      </c>
      <c r="F13" s="38">
        <v>164</v>
      </c>
      <c r="G13" s="42">
        <v>23850</v>
      </c>
      <c r="H13" s="39">
        <v>216689</v>
      </c>
      <c r="I13" s="39">
        <v>17900</v>
      </c>
    </row>
    <row r="14" spans="5:9" x14ac:dyDescent="0.4">
      <c r="E14" s="38">
        <v>4530</v>
      </c>
      <c r="F14" s="38">
        <v>1037</v>
      </c>
      <c r="G14" s="42">
        <v>23800</v>
      </c>
      <c r="H14" s="39">
        <v>338258</v>
      </c>
      <c r="I14" s="39">
        <v>30311</v>
      </c>
    </row>
    <row r="15" spans="5:9" x14ac:dyDescent="0.4">
      <c r="E15" s="38">
        <v>1305</v>
      </c>
      <c r="F15" s="38">
        <v>131</v>
      </c>
      <c r="G15" s="42">
        <v>23750</v>
      </c>
      <c r="H15" s="39">
        <v>192611</v>
      </c>
      <c r="I15" s="39">
        <v>11604</v>
      </c>
    </row>
    <row r="16" spans="5:9" x14ac:dyDescent="0.4">
      <c r="E16" s="38">
        <v>7110</v>
      </c>
      <c r="F16" s="38">
        <v>2877</v>
      </c>
      <c r="G16" s="42">
        <v>23700</v>
      </c>
      <c r="H16" s="39">
        <v>357314</v>
      </c>
      <c r="I16" s="39">
        <v>22304</v>
      </c>
    </row>
    <row r="17" spans="5:9" x14ac:dyDescent="0.4">
      <c r="E17" s="38">
        <v>2155</v>
      </c>
      <c r="F17" s="38">
        <v>773</v>
      </c>
      <c r="G17" s="42">
        <v>23650</v>
      </c>
      <c r="H17" s="39">
        <v>185103</v>
      </c>
      <c r="I17" s="39">
        <v>14043</v>
      </c>
    </row>
    <row r="18" spans="5:9" x14ac:dyDescent="0.4">
      <c r="E18" s="38">
        <v>6147</v>
      </c>
      <c r="F18" s="38">
        <v>8787</v>
      </c>
      <c r="G18" s="42">
        <v>23600</v>
      </c>
      <c r="H18" s="39">
        <v>475487</v>
      </c>
      <c r="I18" s="39">
        <v>38226</v>
      </c>
    </row>
    <row r="19" spans="5:9" x14ac:dyDescent="0.4">
      <c r="E19" s="38">
        <v>4276</v>
      </c>
      <c r="F19" s="38">
        <v>5566</v>
      </c>
      <c r="G19" s="42">
        <v>23550</v>
      </c>
      <c r="H19" s="39">
        <v>217434</v>
      </c>
      <c r="I19" s="39">
        <v>19453</v>
      </c>
    </row>
    <row r="20" spans="5:9" x14ac:dyDescent="0.4">
      <c r="E20" s="38">
        <v>7684</v>
      </c>
      <c r="F20" s="38">
        <v>28251</v>
      </c>
      <c r="G20" s="42">
        <v>23500</v>
      </c>
      <c r="H20" s="39">
        <v>596365</v>
      </c>
      <c r="I20" s="39">
        <v>71987</v>
      </c>
    </row>
    <row r="21" spans="5:9" x14ac:dyDescent="0.4">
      <c r="E21" s="38">
        <v>2596</v>
      </c>
      <c r="F21" s="38">
        <v>19151</v>
      </c>
      <c r="G21" s="42">
        <v>23450</v>
      </c>
      <c r="H21" s="39">
        <v>209016</v>
      </c>
      <c r="I21" s="39">
        <v>15791</v>
      </c>
    </row>
    <row r="22" spans="5:9" x14ac:dyDescent="0.4">
      <c r="E22" s="38">
        <v>6148</v>
      </c>
      <c r="F22" s="38">
        <v>87893</v>
      </c>
      <c r="G22" s="42">
        <v>23400</v>
      </c>
      <c r="H22" s="39">
        <v>413101</v>
      </c>
      <c r="I22" s="39">
        <v>19316</v>
      </c>
    </row>
    <row r="23" spans="5:9" x14ac:dyDescent="0.4">
      <c r="E23" s="38">
        <v>3213</v>
      </c>
      <c r="F23" s="38">
        <v>97674</v>
      </c>
      <c r="G23" s="42">
        <v>23350</v>
      </c>
      <c r="H23" s="39">
        <v>265407</v>
      </c>
      <c r="I23" s="39">
        <v>10081</v>
      </c>
    </row>
    <row r="24" spans="5:9" x14ac:dyDescent="0.4">
      <c r="E24" s="38">
        <v>6013</v>
      </c>
      <c r="F24" s="38">
        <v>264634</v>
      </c>
      <c r="G24" s="42">
        <v>23300</v>
      </c>
      <c r="H24" s="39">
        <v>432860</v>
      </c>
      <c r="I24" s="39">
        <v>12824</v>
      </c>
    </row>
    <row r="25" spans="5:9" x14ac:dyDescent="0.4">
      <c r="E25" s="38">
        <v>5056</v>
      </c>
      <c r="F25" s="38">
        <v>298227</v>
      </c>
      <c r="G25" s="42">
        <v>23250</v>
      </c>
      <c r="H25" s="39">
        <v>361299</v>
      </c>
      <c r="I25" s="39">
        <v>9178</v>
      </c>
    </row>
    <row r="26" spans="5:9" x14ac:dyDescent="0.4">
      <c r="E26" s="38">
        <v>18720</v>
      </c>
      <c r="F26" s="38">
        <v>589147</v>
      </c>
      <c r="G26" s="42">
        <v>23200</v>
      </c>
      <c r="H26" s="39">
        <v>469893</v>
      </c>
      <c r="I26" s="39">
        <v>18261</v>
      </c>
    </row>
    <row r="27" spans="5:9" x14ac:dyDescent="0.4">
      <c r="E27" s="38">
        <v>9113</v>
      </c>
      <c r="F27" s="38">
        <v>353308</v>
      </c>
      <c r="G27" s="42">
        <v>23150</v>
      </c>
      <c r="H27" s="39">
        <v>175078</v>
      </c>
      <c r="I27" s="39">
        <v>4486</v>
      </c>
    </row>
    <row r="28" spans="5:9" x14ac:dyDescent="0.4">
      <c r="E28" s="38">
        <v>16249</v>
      </c>
      <c r="F28" s="38">
        <v>553649</v>
      </c>
      <c r="G28" s="42">
        <v>23100</v>
      </c>
      <c r="H28" s="39">
        <v>114719</v>
      </c>
      <c r="I28" s="39">
        <v>4042</v>
      </c>
    </row>
    <row r="29" spans="5:9" x14ac:dyDescent="0.4">
      <c r="E29" s="38">
        <v>6781</v>
      </c>
      <c r="F29" s="38">
        <v>209762</v>
      </c>
      <c r="G29" s="42">
        <v>23050</v>
      </c>
      <c r="H29" s="39">
        <v>26259</v>
      </c>
      <c r="I29" s="39">
        <v>1003</v>
      </c>
    </row>
    <row r="30" spans="5:9" x14ac:dyDescent="0.4">
      <c r="E30" s="38">
        <v>20642</v>
      </c>
      <c r="F30" s="38">
        <v>498559</v>
      </c>
      <c r="G30" s="42">
        <v>23000</v>
      </c>
      <c r="H30" s="39">
        <v>33918</v>
      </c>
      <c r="I30" s="39">
        <v>2031</v>
      </c>
    </row>
    <row r="31" spans="5:9" x14ac:dyDescent="0.4">
      <c r="E31" s="38">
        <v>12570</v>
      </c>
      <c r="F31" s="38">
        <v>170860</v>
      </c>
      <c r="G31" s="42">
        <v>22950</v>
      </c>
      <c r="H31" s="39">
        <v>2846</v>
      </c>
      <c r="I31" s="39">
        <v>310</v>
      </c>
    </row>
    <row r="32" spans="5:9" x14ac:dyDescent="0.4">
      <c r="E32" s="38">
        <v>20901</v>
      </c>
      <c r="F32" s="38">
        <v>283482</v>
      </c>
      <c r="G32" s="42">
        <v>22900</v>
      </c>
      <c r="H32" s="39">
        <v>1963</v>
      </c>
      <c r="I32" s="39">
        <v>297</v>
      </c>
    </row>
    <row r="33" spans="5:9" x14ac:dyDescent="0.4">
      <c r="E33" s="38">
        <v>9681</v>
      </c>
      <c r="F33" s="38">
        <v>128074</v>
      </c>
      <c r="G33" s="42">
        <v>22850</v>
      </c>
      <c r="H33" s="39">
        <v>627</v>
      </c>
      <c r="I33" s="39">
        <v>117</v>
      </c>
    </row>
    <row r="34" spans="5:9" x14ac:dyDescent="0.4">
      <c r="E34" s="38">
        <v>59456</v>
      </c>
      <c r="F34" s="38">
        <v>317172</v>
      </c>
      <c r="G34" s="42">
        <v>22800</v>
      </c>
      <c r="H34" s="39">
        <v>1778</v>
      </c>
      <c r="I34" s="39">
        <v>143</v>
      </c>
    </row>
    <row r="35" spans="5:9" x14ac:dyDescent="0.4">
      <c r="E35" s="38">
        <v>8534</v>
      </c>
      <c r="F35" s="38">
        <v>128693</v>
      </c>
      <c r="G35" s="42">
        <v>22750</v>
      </c>
      <c r="H35" s="39">
        <v>221</v>
      </c>
      <c r="I35" s="39">
        <v>93</v>
      </c>
    </row>
    <row r="36" spans="5:9" x14ac:dyDescent="0.4">
      <c r="E36" s="38">
        <v>9292</v>
      </c>
      <c r="F36" s="38">
        <v>185530</v>
      </c>
      <c r="G36" s="42">
        <v>22700</v>
      </c>
      <c r="H36" s="39">
        <v>652</v>
      </c>
      <c r="I36" s="39">
        <v>98</v>
      </c>
    </row>
    <row r="37" spans="5:9" x14ac:dyDescent="0.4">
      <c r="E37" s="38">
        <v>3578</v>
      </c>
      <c r="F37" s="38">
        <v>87777</v>
      </c>
      <c r="G37" s="42">
        <v>22650</v>
      </c>
      <c r="H37" s="39">
        <v>200</v>
      </c>
      <c r="I37" s="39">
        <v>27</v>
      </c>
    </row>
    <row r="38" spans="5:9" x14ac:dyDescent="0.4">
      <c r="E38" s="38">
        <v>4953</v>
      </c>
      <c r="F38" s="38">
        <v>149020</v>
      </c>
      <c r="G38" s="42">
        <v>22600</v>
      </c>
      <c r="H38" s="39">
        <v>374</v>
      </c>
      <c r="I38" s="39">
        <v>54</v>
      </c>
    </row>
    <row r="39" spans="5:9" x14ac:dyDescent="0.4">
      <c r="E39" s="38">
        <v>6491</v>
      </c>
      <c r="F39" s="38">
        <v>139489</v>
      </c>
      <c r="G39" s="42">
        <v>22550</v>
      </c>
      <c r="H39" s="39">
        <v>0</v>
      </c>
      <c r="I39" s="39">
        <v>0</v>
      </c>
    </row>
    <row r="40" spans="5:9" x14ac:dyDescent="0.4">
      <c r="E40" s="38">
        <v>23749</v>
      </c>
      <c r="F40" s="38">
        <v>287232</v>
      </c>
      <c r="G40" s="42">
        <v>22500</v>
      </c>
      <c r="H40" s="39">
        <v>27</v>
      </c>
      <c r="I40" s="39">
        <v>26</v>
      </c>
    </row>
    <row r="41" spans="5:9" x14ac:dyDescent="0.4">
      <c r="E41" s="38">
        <v>4994</v>
      </c>
      <c r="F41" s="38">
        <v>117330</v>
      </c>
      <c r="G41" s="42">
        <v>22450</v>
      </c>
      <c r="H41" s="39">
        <v>0</v>
      </c>
      <c r="I41" s="39">
        <v>0</v>
      </c>
    </row>
    <row r="42" spans="5:9" x14ac:dyDescent="0.4">
      <c r="E42" s="38">
        <v>14743</v>
      </c>
      <c r="F42" s="38">
        <v>167945</v>
      </c>
      <c r="G42" s="42">
        <v>22400</v>
      </c>
      <c r="H42" s="39">
        <v>2</v>
      </c>
      <c r="I42" s="39">
        <v>1</v>
      </c>
    </row>
    <row r="43" spans="5:9" x14ac:dyDescent="0.4">
      <c r="E43" s="38">
        <v>3023</v>
      </c>
      <c r="F43" s="38">
        <v>54955</v>
      </c>
      <c r="G43" s="42">
        <v>22350</v>
      </c>
      <c r="H43" s="39">
        <v>2</v>
      </c>
      <c r="I43" s="39">
        <v>1</v>
      </c>
    </row>
    <row r="44" spans="5:9" x14ac:dyDescent="0.4">
      <c r="E44" s="38">
        <v>13594</v>
      </c>
      <c r="F44" s="38">
        <v>139316</v>
      </c>
      <c r="G44" s="42">
        <v>22300</v>
      </c>
      <c r="H44" s="39">
        <v>2</v>
      </c>
      <c r="I44" s="39">
        <v>0</v>
      </c>
    </row>
    <row r="45" spans="5:9" x14ac:dyDescent="0.4">
      <c r="E45" s="38">
        <v>1998</v>
      </c>
      <c r="F45" s="38">
        <v>41293</v>
      </c>
      <c r="G45" s="42">
        <v>22250</v>
      </c>
      <c r="H45" s="39">
        <v>0</v>
      </c>
      <c r="I45" s="39">
        <v>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214DF899-D360-4971-BFF0-9D4A0E058CC9}">
            <xm:f>'Cookies And Miscellaneous'!$D$25</xm:f>
            <x14:dxf>
              <font>
                <b/>
                <i val="0"/>
                <color theme="0"/>
              </font>
              <fill>
                <patternFill>
                  <bgColor theme="5" tint="-0.24994659260841701"/>
                </patternFill>
              </fill>
            </x14:dxf>
          </x14:cfRule>
          <xm:sqref>G6:G45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A5FF-581B-463D-9EDD-324B31B04E9A}">
  <sheetPr codeName="Sheet2"/>
  <dimension ref="B5:L46"/>
  <sheetViews>
    <sheetView zoomScale="79" zoomScaleNormal="115" workbookViewId="0">
      <selection activeCell="C3" sqref="C3"/>
    </sheetView>
  </sheetViews>
  <sheetFormatPr defaultRowHeight="14.6" x14ac:dyDescent="0.4"/>
  <cols>
    <col min="5" max="5" width="6.3046875" bestFit="1" customWidth="1"/>
    <col min="6" max="6" width="7.3046875" bestFit="1" customWidth="1"/>
    <col min="7" max="7" width="6.3046875" style="6" bestFit="1" customWidth="1"/>
    <col min="8" max="8" width="7.3046875" bestFit="1" customWidth="1"/>
    <col min="9" max="9" width="5.3046875" bestFit="1" customWidth="1"/>
    <col min="10" max="10" width="6.84375" bestFit="1" customWidth="1"/>
    <col min="11" max="11" width="5.3046875" bestFit="1" customWidth="1"/>
    <col min="12" max="12" width="5.921875" bestFit="1" customWidth="1"/>
  </cols>
  <sheetData>
    <row r="5" spans="2:12" x14ac:dyDescent="0.4">
      <c r="B5" t="s">
        <v>29</v>
      </c>
      <c r="C5" s="12" t="s">
        <v>23</v>
      </c>
      <c r="D5" s="13" t="s">
        <v>17</v>
      </c>
      <c r="E5" s="13" t="s">
        <v>1</v>
      </c>
      <c r="F5" s="13" t="s">
        <v>2</v>
      </c>
      <c r="G5" s="12" t="s">
        <v>3</v>
      </c>
      <c r="H5" s="10" t="s">
        <v>4</v>
      </c>
      <c r="I5" s="10" t="s">
        <v>5</v>
      </c>
      <c r="J5" s="10" t="s">
        <v>17</v>
      </c>
      <c r="K5" s="12" t="s">
        <v>23</v>
      </c>
      <c r="L5" s="12" t="s">
        <v>29</v>
      </c>
    </row>
    <row r="6" spans="2:12" x14ac:dyDescent="0.4">
      <c r="B6" s="26" t="str">
        <f t="shared" ref="B6:B24" si="0">IFERROR(C6/LARGE($C$6:$C$45,1), "")</f>
        <v/>
      </c>
      <c r="C6" s="18" t="str">
        <f>IF(D6&gt;0.4, NIFTY_Option[[#This Row],[PE OI]], "")</f>
        <v/>
      </c>
      <c r="D6" s="15">
        <f>NIFTY_Option[[#This Row],[PE VOL]]/LARGE(NIFTY_Option[PE VOL],1)</f>
        <v>1.886572585264496E-4</v>
      </c>
      <c r="E6" s="8">
        <v>21552</v>
      </c>
      <c r="F6" s="8">
        <v>13405</v>
      </c>
      <c r="G6" s="5">
        <v>24500</v>
      </c>
      <c r="H6" s="7">
        <v>3000592</v>
      </c>
      <c r="I6" s="7">
        <v>302679</v>
      </c>
      <c r="J6" s="15">
        <f>NIFTY_Option[[#This Row],[CE VOL]]/LARGE(NIFTY_Option[CE VOL],1)</f>
        <v>5.3505294427727737E-2</v>
      </c>
      <c r="K6" s="18" t="str">
        <f>IF(NIFTY_Option[[#This Row],[VOL%]]&gt;0.4, NIFTY_Option[[#This Row],[CE OI]], "")</f>
        <v/>
      </c>
      <c r="L6" s="28" t="str">
        <f>IFERROR(NIFTY_Option[[#This Row],[OI]]/LARGE(NIFTY_Option[OI],1), "")</f>
        <v/>
      </c>
    </row>
    <row r="7" spans="2:12" x14ac:dyDescent="0.4">
      <c r="B7" s="26" t="str">
        <f t="shared" si="0"/>
        <v/>
      </c>
      <c r="C7" s="18" t="str">
        <f>IF(D7&gt;0.4, NIFTY_Option[[#This Row],[PE OI]], "")</f>
        <v/>
      </c>
      <c r="D7" s="15">
        <f>NIFTY_Option[[#This Row],[PE VOL]]/LARGE(NIFTY_Option[PE VOL],1)</f>
        <v>2.6768079501477591E-5</v>
      </c>
      <c r="E7" s="8">
        <v>8612</v>
      </c>
      <c r="F7" s="8">
        <v>1902</v>
      </c>
      <c r="G7" s="5">
        <v>24450</v>
      </c>
      <c r="H7" s="7">
        <v>1244188</v>
      </c>
      <c r="I7" s="7">
        <v>87771</v>
      </c>
      <c r="J7" s="15">
        <f>NIFTY_Option[[#This Row],[CE VOL]]/LARGE(NIFTY_Option[CE VOL],1)</f>
        <v>2.2185837082630933E-2</v>
      </c>
      <c r="K7" s="18" t="str">
        <f>IF(NIFTY_Option[[#This Row],[VOL%]]&gt;0.4, NIFTY_Option[[#This Row],[CE OI]], "")</f>
        <v/>
      </c>
      <c r="L7" s="28" t="str">
        <f>IFERROR(NIFTY_Option[[#This Row],[OI]]/LARGE(NIFTY_Option[OI],1), "")</f>
        <v/>
      </c>
    </row>
    <row r="8" spans="2:12" x14ac:dyDescent="0.4">
      <c r="B8" s="26" t="str">
        <f t="shared" si="0"/>
        <v/>
      </c>
      <c r="C8" s="18" t="str">
        <f>IF(D8&gt;0.4, NIFTY_Option[[#This Row],[PE OI]], "")</f>
        <v/>
      </c>
      <c r="D8" s="15">
        <f>NIFTY_Option[[#This Row],[PE VOL]]/LARGE(NIFTY_Option[PE VOL],1)</f>
        <v>1.2557916582107495E-4</v>
      </c>
      <c r="E8" s="8">
        <v>31977</v>
      </c>
      <c r="F8" s="8">
        <v>8923</v>
      </c>
      <c r="G8" s="5">
        <v>24400</v>
      </c>
      <c r="H8" s="7">
        <v>3558438</v>
      </c>
      <c r="I8" s="7">
        <v>214680</v>
      </c>
      <c r="J8" s="15">
        <f>NIFTY_Option[[#This Row],[CE VOL]]/LARGE(NIFTY_Option[CE VOL],1)</f>
        <v>6.3452569657192523E-2</v>
      </c>
      <c r="K8" s="18" t="str">
        <f>IF(NIFTY_Option[[#This Row],[VOL%]]&gt;0.4, NIFTY_Option[[#This Row],[CE OI]], "")</f>
        <v/>
      </c>
      <c r="L8" s="28" t="str">
        <f>IFERROR(NIFTY_Option[[#This Row],[OI]]/LARGE(NIFTY_Option[OI],1), "")</f>
        <v/>
      </c>
    </row>
    <row r="9" spans="2:12" x14ac:dyDescent="0.4">
      <c r="B9" s="26" t="str">
        <f t="shared" si="0"/>
        <v/>
      </c>
      <c r="C9" s="18" t="str">
        <f>IF(D9&gt;0.4, NIFTY_Option[[#This Row],[PE OI]], "")</f>
        <v/>
      </c>
      <c r="D9" s="15">
        <f>NIFTY_Option[[#This Row],[PE VOL]]/LARGE(NIFTY_Option[PE VOL],1)</f>
        <v>4.9891084034036837E-5</v>
      </c>
      <c r="E9" s="8">
        <v>15666</v>
      </c>
      <c r="F9" s="8">
        <v>3545</v>
      </c>
      <c r="G9" s="5">
        <v>24350</v>
      </c>
      <c r="H9" s="7">
        <v>2152324</v>
      </c>
      <c r="I9" s="7">
        <v>100296</v>
      </c>
      <c r="J9" s="15">
        <f>NIFTY_Option[[#This Row],[CE VOL]]/LARGE(NIFTY_Option[CE VOL],1)</f>
        <v>3.8379336252267776E-2</v>
      </c>
      <c r="K9" s="18" t="str">
        <f>IF(NIFTY_Option[[#This Row],[VOL%]]&gt;0.4, NIFTY_Option[[#This Row],[CE OI]], "")</f>
        <v/>
      </c>
      <c r="L9" s="28" t="str">
        <f>IFERROR(NIFTY_Option[[#This Row],[OI]]/LARGE(NIFTY_Option[OI],1), "")</f>
        <v/>
      </c>
    </row>
    <row r="10" spans="2:12" x14ac:dyDescent="0.4">
      <c r="B10" s="26" t="str">
        <f t="shared" si="0"/>
        <v/>
      </c>
      <c r="C10" s="18" t="str">
        <f>IF(D10&gt;0.4, NIFTY_Option[[#This Row],[PE OI]], "")</f>
        <v/>
      </c>
      <c r="D10" s="15">
        <f>NIFTY_Option[[#This Row],[PE VOL]]/LARGE(NIFTY_Option[PE VOL],1)</f>
        <v>1.8170487615330031E-4</v>
      </c>
      <c r="E10" s="8">
        <v>36192</v>
      </c>
      <c r="F10" s="8">
        <v>12911</v>
      </c>
      <c r="G10" s="5">
        <v>24300</v>
      </c>
      <c r="H10" s="7">
        <v>4518245</v>
      </c>
      <c r="I10" s="7">
        <v>292005</v>
      </c>
      <c r="J10" s="15">
        <f>NIFTY_Option[[#This Row],[CE VOL]]/LARGE(NIFTY_Option[CE VOL],1)</f>
        <v>8.0567444364848237E-2</v>
      </c>
      <c r="K10" s="18" t="str">
        <f>IF(NIFTY_Option[[#This Row],[VOL%]]&gt;0.4, NIFTY_Option[[#This Row],[CE OI]], "")</f>
        <v/>
      </c>
      <c r="L10" s="28" t="str">
        <f>IFERROR(NIFTY_Option[[#This Row],[OI]]/LARGE(NIFTY_Option[OI],1), "")</f>
        <v/>
      </c>
    </row>
    <row r="11" spans="2:12" x14ac:dyDescent="0.4">
      <c r="B11" s="26" t="str">
        <f t="shared" si="0"/>
        <v/>
      </c>
      <c r="C11" s="18" t="str">
        <f>IF(D11&gt;0.4, NIFTY_Option[[#This Row],[PE OI]], "")</f>
        <v/>
      </c>
      <c r="D11" s="15">
        <f>NIFTY_Option[[#This Row],[PE VOL]]/LARGE(NIFTY_Option[PE VOL],1)</f>
        <v>1.3775287179835052E-4</v>
      </c>
      <c r="E11" s="8">
        <v>24840</v>
      </c>
      <c r="F11" s="8">
        <v>9788</v>
      </c>
      <c r="G11" s="5">
        <v>24250</v>
      </c>
      <c r="H11" s="7">
        <v>2403381</v>
      </c>
      <c r="I11" s="7">
        <v>140253</v>
      </c>
      <c r="J11" s="15">
        <f>NIFTY_Option[[#This Row],[CE VOL]]/LARGE(NIFTY_Option[CE VOL],1)</f>
        <v>4.2856079076064563E-2</v>
      </c>
      <c r="K11" s="18" t="str">
        <f>IF(NIFTY_Option[[#This Row],[VOL%]]&gt;0.4, NIFTY_Option[[#This Row],[CE OI]], "")</f>
        <v/>
      </c>
      <c r="L11" s="28" t="str">
        <f>IFERROR(NIFTY_Option[[#This Row],[OI]]/LARGE(NIFTY_Option[OI],1), "")</f>
        <v/>
      </c>
    </row>
    <row r="12" spans="2:12" x14ac:dyDescent="0.4">
      <c r="B12" s="26" t="str">
        <f t="shared" si="0"/>
        <v/>
      </c>
      <c r="C12" s="18" t="str">
        <f>IF(D12&gt;0.4, NIFTY_Option[[#This Row],[PE OI]], "")</f>
        <v/>
      </c>
      <c r="D12" s="15">
        <f>NIFTY_Option[[#This Row],[PE VOL]]/LARGE(NIFTY_Option[PE VOL],1)</f>
        <v>4.8051658171343291E-4</v>
      </c>
      <c r="E12" s="8">
        <v>58830</v>
      </c>
      <c r="F12" s="8">
        <v>34143</v>
      </c>
      <c r="G12" s="5">
        <v>24200</v>
      </c>
      <c r="H12" s="7">
        <v>5974343</v>
      </c>
      <c r="I12" s="7">
        <v>340557</v>
      </c>
      <c r="J12" s="15">
        <f>NIFTY_Option[[#This Row],[CE VOL]]/LARGE(NIFTY_Option[CE VOL],1)</f>
        <v>0.10653197143338188</v>
      </c>
      <c r="K12" s="18" t="str">
        <f>IF(NIFTY_Option[[#This Row],[VOL%]]&gt;0.4, NIFTY_Option[[#This Row],[CE OI]], "")</f>
        <v/>
      </c>
      <c r="L12" s="28" t="str">
        <f>IFERROR(NIFTY_Option[[#This Row],[OI]]/LARGE(NIFTY_Option[OI],1), "")</f>
        <v/>
      </c>
    </row>
    <row r="13" spans="2:12" x14ac:dyDescent="0.4">
      <c r="B13" s="26" t="str">
        <f t="shared" si="0"/>
        <v/>
      </c>
      <c r="C13" s="18" t="str">
        <f>IF(D13&gt;0.4, NIFTY_Option[[#This Row],[PE OI]], "")</f>
        <v/>
      </c>
      <c r="D13" s="15">
        <f>NIFTY_Option[[#This Row],[PE VOL]]/LARGE(NIFTY_Option[PE VOL],1)</f>
        <v>1.1081590851452921E-4</v>
      </c>
      <c r="E13" s="8">
        <v>9560</v>
      </c>
      <c r="F13" s="8">
        <v>7874</v>
      </c>
      <c r="G13" s="5">
        <v>24150</v>
      </c>
      <c r="H13" s="7">
        <v>3049752</v>
      </c>
      <c r="I13" s="7">
        <v>107828</v>
      </c>
      <c r="J13" s="15">
        <f>NIFTY_Option[[#This Row],[CE VOL]]/LARGE(NIFTY_Option[CE VOL],1)</f>
        <v>5.4381894869929503E-2</v>
      </c>
      <c r="K13" s="18" t="str">
        <f>IF(NIFTY_Option[[#This Row],[VOL%]]&gt;0.4, NIFTY_Option[[#This Row],[CE OI]], "")</f>
        <v/>
      </c>
      <c r="L13" s="28" t="str">
        <f>IFERROR(NIFTY_Option[[#This Row],[OI]]/LARGE(NIFTY_Option[OI],1), "")</f>
        <v/>
      </c>
    </row>
    <row r="14" spans="2:12" x14ac:dyDescent="0.4">
      <c r="B14" s="26" t="str">
        <f t="shared" si="0"/>
        <v/>
      </c>
      <c r="C14" s="18" t="str">
        <f>IF(D14&gt;0.4, NIFTY_Option[[#This Row],[PE OI]], "")</f>
        <v/>
      </c>
      <c r="D14" s="15">
        <f>NIFTY_Option[[#This Row],[PE VOL]]/LARGE(NIFTY_Option[PE VOL],1)</f>
        <v>4.5402997518252821E-4</v>
      </c>
      <c r="E14" s="8">
        <v>23134</v>
      </c>
      <c r="F14" s="8">
        <v>32261</v>
      </c>
      <c r="G14" s="5">
        <v>24100</v>
      </c>
      <c r="H14" s="7">
        <v>6412702</v>
      </c>
      <c r="I14" s="7">
        <v>229405</v>
      </c>
      <c r="J14" s="15">
        <f>NIFTY_Option[[#This Row],[CE VOL]]/LARGE(NIFTY_Option[CE VOL],1)</f>
        <v>0.11434860473775792</v>
      </c>
      <c r="K14" s="18" t="str">
        <f>IF(NIFTY_Option[[#This Row],[VOL%]]&gt;0.4, NIFTY_Option[[#This Row],[CE OI]], "")</f>
        <v/>
      </c>
      <c r="L14" s="28" t="str">
        <f>IFERROR(NIFTY_Option[[#This Row],[OI]]/LARGE(NIFTY_Option[OI],1), "")</f>
        <v/>
      </c>
    </row>
    <row r="15" spans="2:12" x14ac:dyDescent="0.4">
      <c r="B15" s="26" t="str">
        <f t="shared" si="0"/>
        <v/>
      </c>
      <c r="C15" s="18" t="str">
        <f>IF(D15&gt;0.4, NIFTY_Option[[#This Row],[PE OI]], "")</f>
        <v/>
      </c>
      <c r="D15" s="15">
        <f>NIFTY_Option[[#This Row],[PE VOL]]/LARGE(NIFTY_Option[PE VOL],1)</f>
        <v>2.2391174809069847E-4</v>
      </c>
      <c r="E15" s="8">
        <v>15690</v>
      </c>
      <c r="F15" s="8">
        <v>15910</v>
      </c>
      <c r="G15" s="5">
        <v>24050</v>
      </c>
      <c r="H15" s="7">
        <v>5166791</v>
      </c>
      <c r="I15" s="7">
        <v>116168</v>
      </c>
      <c r="J15" s="15">
        <f>NIFTY_Option[[#This Row],[CE VOL]]/LARGE(NIFTY_Option[CE VOL],1)</f>
        <v>9.213204384385941E-2</v>
      </c>
      <c r="K15" s="18" t="str">
        <f>IF(NIFTY_Option[[#This Row],[VOL%]]&gt;0.4, NIFTY_Option[[#This Row],[CE OI]], "")</f>
        <v/>
      </c>
      <c r="L15" s="28" t="str">
        <f>IFERROR(NIFTY_Option[[#This Row],[OI]]/LARGE(NIFTY_Option[OI],1), "")</f>
        <v/>
      </c>
    </row>
    <row r="16" spans="2:12" x14ac:dyDescent="0.4">
      <c r="B16" s="26" t="str">
        <f t="shared" si="0"/>
        <v/>
      </c>
      <c r="C16" s="18" t="str">
        <f>IF(D16&gt;0.4, NIFTY_Option[[#This Row],[PE OI]], "")</f>
        <v/>
      </c>
      <c r="D16" s="15">
        <f>NIFTY_Option[[#This Row],[PE VOL]]/LARGE(NIFTY_Option[PE VOL],1)</f>
        <v>2.0692907641118585E-3</v>
      </c>
      <c r="E16" s="8">
        <v>38886</v>
      </c>
      <c r="F16" s="8">
        <v>147033</v>
      </c>
      <c r="G16" s="5">
        <v>24000</v>
      </c>
      <c r="H16" s="7">
        <v>11524654</v>
      </c>
      <c r="I16" s="7">
        <v>305374</v>
      </c>
      <c r="J16" s="15">
        <f>NIFTY_Option[[#This Row],[CE VOL]]/LARGE(NIFTY_Option[CE VOL],1)</f>
        <v>0.2055027826001303</v>
      </c>
      <c r="K16" s="18" t="str">
        <f>IF(NIFTY_Option[[#This Row],[VOL%]]&gt;0.4, NIFTY_Option[[#This Row],[CE OI]], "")</f>
        <v/>
      </c>
      <c r="L16" s="28" t="str">
        <f>IFERROR(NIFTY_Option[[#This Row],[OI]]/LARGE(NIFTY_Option[OI],1), "")</f>
        <v/>
      </c>
    </row>
    <row r="17" spans="2:12" x14ac:dyDescent="0.4">
      <c r="B17" s="26" t="str">
        <f t="shared" si="0"/>
        <v/>
      </c>
      <c r="C17" s="18" t="str">
        <f>IF(D17&gt;0.4, NIFTY_Option[[#This Row],[PE OI]], "")</f>
        <v/>
      </c>
      <c r="D17" s="15">
        <f>NIFTY_Option[[#This Row],[PE VOL]]/LARGE(NIFTY_Option[PE VOL],1)</f>
        <v>4.4779534888433968E-4</v>
      </c>
      <c r="E17" s="8">
        <v>23344</v>
      </c>
      <c r="F17" s="8">
        <v>31818</v>
      </c>
      <c r="G17" s="5">
        <v>23950</v>
      </c>
      <c r="H17" s="7">
        <v>5835902</v>
      </c>
      <c r="I17" s="7">
        <v>112428</v>
      </c>
      <c r="J17" s="15">
        <f>NIFTY_Option[[#This Row],[CE VOL]]/LARGE(NIFTY_Option[CE VOL],1)</f>
        <v>0.1040633497527705</v>
      </c>
      <c r="K17" s="18" t="str">
        <f>IF(NIFTY_Option[[#This Row],[VOL%]]&gt;0.4, NIFTY_Option[[#This Row],[CE OI]], "")</f>
        <v/>
      </c>
      <c r="L17" s="28" t="str">
        <f>IFERROR(NIFTY_Option[[#This Row],[OI]]/LARGE(NIFTY_Option[OI],1), "")</f>
        <v/>
      </c>
    </row>
    <row r="18" spans="2:12" x14ac:dyDescent="0.4">
      <c r="B18" s="26" t="str">
        <f t="shared" si="0"/>
        <v/>
      </c>
      <c r="C18" s="18" t="str">
        <f>IF(D18&gt;0.4, NIFTY_Option[[#This Row],[PE OI]], "")</f>
        <v/>
      </c>
      <c r="D18" s="15">
        <f>NIFTY_Option[[#This Row],[PE VOL]]/LARGE(NIFTY_Option[PE VOL],1)</f>
        <v>1.8696419860845393E-3</v>
      </c>
      <c r="E18" s="8">
        <v>25784</v>
      </c>
      <c r="F18" s="8">
        <v>132847</v>
      </c>
      <c r="G18" s="5">
        <v>23900</v>
      </c>
      <c r="H18" s="7">
        <v>8654472</v>
      </c>
      <c r="I18" s="7">
        <v>165651</v>
      </c>
      <c r="J18" s="15">
        <f>NIFTY_Option[[#This Row],[CE VOL]]/LARGE(NIFTY_Option[CE VOL],1)</f>
        <v>0.1543229044390326</v>
      </c>
      <c r="K18" s="18" t="str">
        <f>IF(NIFTY_Option[[#This Row],[VOL%]]&gt;0.4, NIFTY_Option[[#This Row],[CE OI]], "")</f>
        <v/>
      </c>
      <c r="L18" s="28" t="str">
        <f>IFERROR(NIFTY_Option[[#This Row],[OI]]/LARGE(NIFTY_Option[OI],1), "")</f>
        <v/>
      </c>
    </row>
    <row r="19" spans="2:12" x14ac:dyDescent="0.4">
      <c r="B19" s="26" t="str">
        <f t="shared" si="0"/>
        <v/>
      </c>
      <c r="C19" s="18" t="str">
        <f>IF(D19&gt;0.4, NIFTY_Option[[#This Row],[PE OI]], "")</f>
        <v/>
      </c>
      <c r="D19" s="15">
        <f>NIFTY_Option[[#This Row],[PE VOL]]/LARGE(NIFTY_Option[PE VOL],1)</f>
        <v>1.4950155359006107E-3</v>
      </c>
      <c r="E19" s="8">
        <v>17212</v>
      </c>
      <c r="F19" s="8">
        <v>106228</v>
      </c>
      <c r="G19" s="5">
        <v>23850</v>
      </c>
      <c r="H19" s="7">
        <v>7613580</v>
      </c>
      <c r="I19" s="7">
        <v>122889</v>
      </c>
      <c r="J19" s="15">
        <f>NIFTY_Option[[#This Row],[CE VOL]]/LARGE(NIFTY_Option[CE VOL],1)</f>
        <v>0.13576215611754591</v>
      </c>
      <c r="K19" s="18" t="str">
        <f>IF(NIFTY_Option[[#This Row],[VOL%]]&gt;0.4, NIFTY_Option[[#This Row],[CE OI]], "")</f>
        <v/>
      </c>
      <c r="L19" s="28" t="str">
        <f>IFERROR(NIFTY_Option[[#This Row],[OI]]/LARGE(NIFTY_Option[OI],1), "")</f>
        <v/>
      </c>
    </row>
    <row r="20" spans="2:12" x14ac:dyDescent="0.4">
      <c r="B20" s="26" t="str">
        <f t="shared" si="0"/>
        <v/>
      </c>
      <c r="C20" s="18" t="str">
        <f>IF(D20&gt;0.4, NIFTY_Option[[#This Row],[PE OI]], "")</f>
        <v/>
      </c>
      <c r="D20" s="15">
        <f>NIFTY_Option[[#This Row],[PE VOL]]/LARGE(NIFTY_Option[PE VOL],1)</f>
        <v>9.6866952511850714E-3</v>
      </c>
      <c r="E20" s="8">
        <v>19464</v>
      </c>
      <c r="F20" s="8">
        <v>688286</v>
      </c>
      <c r="G20" s="5">
        <v>23800</v>
      </c>
      <c r="H20" s="7">
        <v>13112637</v>
      </c>
      <c r="I20" s="7">
        <v>216092</v>
      </c>
      <c r="J20" s="15">
        <f>NIFTY_Option[[#This Row],[CE VOL]]/LARGE(NIFTY_Option[CE VOL],1)</f>
        <v>0.2338190275148759</v>
      </c>
      <c r="K20" s="18" t="str">
        <f>IF(NIFTY_Option[[#This Row],[VOL%]]&gt;0.4, NIFTY_Option[[#This Row],[CE OI]], "")</f>
        <v/>
      </c>
      <c r="L20" s="28" t="str">
        <f>IFERROR(NIFTY_Option[[#This Row],[OI]]/LARGE(NIFTY_Option[OI],1), "")</f>
        <v/>
      </c>
    </row>
    <row r="21" spans="2:12" x14ac:dyDescent="0.4">
      <c r="B21" s="26" t="str">
        <f t="shared" si="0"/>
        <v/>
      </c>
      <c r="C21" s="18" t="str">
        <f>IF(D21&gt;0.4, NIFTY_Option[[#This Row],[PE OI]], "")</f>
        <v/>
      </c>
      <c r="D21" s="15">
        <f>NIFTY_Option[[#This Row],[PE VOL]]/LARGE(NIFTY_Option[PE VOL],1)</f>
        <v>7.6744027636142147E-3</v>
      </c>
      <c r="E21" s="8">
        <v>11497</v>
      </c>
      <c r="F21" s="8">
        <v>545303</v>
      </c>
      <c r="G21" s="5">
        <v>23750</v>
      </c>
      <c r="H21" s="7">
        <v>12212287</v>
      </c>
      <c r="I21" s="7">
        <v>143301</v>
      </c>
      <c r="J21" s="15">
        <f>NIFTY_Option[[#This Row],[CE VOL]]/LARGE(NIFTY_Option[CE VOL],1)</f>
        <v>0.21776436502227289</v>
      </c>
      <c r="K21" s="18" t="str">
        <f>IF(NIFTY_Option[[#This Row],[VOL%]]&gt;0.4, NIFTY_Option[[#This Row],[CE OI]], "")</f>
        <v/>
      </c>
      <c r="L21" s="28" t="str">
        <f>IFERROR(NIFTY_Option[[#This Row],[OI]]/LARGE(NIFTY_Option[OI],1), "")</f>
        <v/>
      </c>
    </row>
    <row r="22" spans="2:12" x14ac:dyDescent="0.4">
      <c r="B22" s="26" t="str">
        <f t="shared" si="0"/>
        <v/>
      </c>
      <c r="C22" s="18" t="str">
        <f>IF(D22&gt;0.4, NIFTY_Option[[#This Row],[PE OI]], "")</f>
        <v/>
      </c>
      <c r="D22" s="15">
        <f>NIFTY_Option[[#This Row],[PE VOL]]/LARGE(NIFTY_Option[PE VOL],1)</f>
        <v>3.982165591111534E-2</v>
      </c>
      <c r="E22" s="8">
        <v>29292</v>
      </c>
      <c r="F22" s="8">
        <v>2829519</v>
      </c>
      <c r="G22" s="5">
        <v>23700</v>
      </c>
      <c r="H22" s="7">
        <v>19215525</v>
      </c>
      <c r="I22" s="7">
        <v>227741</v>
      </c>
      <c r="J22" s="15">
        <f>NIFTY_Option[[#This Row],[CE VOL]]/LARGE(NIFTY_Option[CE VOL],1)</f>
        <v>0.34264315931934863</v>
      </c>
      <c r="K22" s="18" t="str">
        <f>IF(NIFTY_Option[[#This Row],[VOL%]]&gt;0.4, NIFTY_Option[[#This Row],[CE OI]], "")</f>
        <v/>
      </c>
      <c r="L22" s="28" t="str">
        <f>IFERROR(NIFTY_Option[[#This Row],[OI]]/LARGE(NIFTY_Option[OI],1), "")</f>
        <v/>
      </c>
    </row>
    <row r="23" spans="2:12" x14ac:dyDescent="0.4">
      <c r="B23" s="26" t="str">
        <f t="shared" si="0"/>
        <v/>
      </c>
      <c r="C23" s="18" t="str">
        <f>IF(D23&gt;0.4, NIFTY_Option[[#This Row],[PE OI]], "")</f>
        <v/>
      </c>
      <c r="D23" s="15">
        <f>NIFTY_Option[[#This Row],[PE VOL]]/LARGE(NIFTY_Option[PE VOL],1)</f>
        <v>6.0582088917874352E-2</v>
      </c>
      <c r="E23" s="8">
        <v>27041</v>
      </c>
      <c r="F23" s="8">
        <v>4304647</v>
      </c>
      <c r="G23" s="5">
        <v>23650</v>
      </c>
      <c r="H23" s="7">
        <v>20711483</v>
      </c>
      <c r="I23" s="7">
        <v>183169</v>
      </c>
      <c r="J23" s="15">
        <f>NIFTY_Option[[#This Row],[CE VOL]]/LARGE(NIFTY_Option[CE VOL],1)</f>
        <v>0.36931845314187256</v>
      </c>
      <c r="K23" s="18" t="str">
        <f>IF(NIFTY_Option[[#This Row],[VOL%]]&gt;0.4, NIFTY_Option[[#This Row],[CE OI]], "")</f>
        <v/>
      </c>
      <c r="L23" s="28" t="str">
        <f>IFERROR(NIFTY_Option[[#This Row],[OI]]/LARGE(NIFTY_Option[OI],1), "")</f>
        <v/>
      </c>
    </row>
    <row r="24" spans="2:12" x14ac:dyDescent="0.4">
      <c r="B24" s="26" t="str">
        <f t="shared" si="0"/>
        <v/>
      </c>
      <c r="C24" s="18" t="str">
        <f>IF(D24&gt;0.4, NIFTY_Option[[#This Row],[PE OI]], "")</f>
        <v/>
      </c>
      <c r="D24" s="15">
        <f>NIFTY_Option[[#This Row],[PE VOL]]/LARGE(NIFTY_Option[PE VOL],1)</f>
        <v>0.25139610593404133</v>
      </c>
      <c r="E24" s="8">
        <v>115367</v>
      </c>
      <c r="F24" s="8">
        <v>17862895</v>
      </c>
      <c r="G24" s="5">
        <v>23600</v>
      </c>
      <c r="H24" s="7">
        <v>41129166</v>
      </c>
      <c r="I24" s="7">
        <v>416459</v>
      </c>
      <c r="J24" s="15">
        <f>NIFTY_Option[[#This Row],[CE VOL]]/LARGE(NIFTY_Option[CE VOL],1)</f>
        <v>0.73339798826261249</v>
      </c>
      <c r="K24" s="18">
        <f>IF(NIFTY_Option[[#This Row],[VOL%]]&gt;0.4, NIFTY_Option[[#This Row],[CE OI]], "")</f>
        <v>416459</v>
      </c>
      <c r="L24" s="28">
        <f>IFERROR(NIFTY_Option[[#This Row],[OI]]/LARGE(NIFTY_Option[OI],1), "")</f>
        <v>0.47254380679735802</v>
      </c>
    </row>
    <row r="25" spans="2:12" x14ac:dyDescent="0.4">
      <c r="B25" s="26">
        <f>IFERROR(C25/LARGE($C$6:$C$45,1), "")</f>
        <v>0.36977499976033207</v>
      </c>
      <c r="C25" s="18">
        <f>IF(D25&gt;0.4, NIFTY_Option[[#This Row],[PE OI]], "")</f>
        <v>385716</v>
      </c>
      <c r="D25" s="15">
        <f>NIFTY_Option[[#This Row],[PE VOL]]/LARGE(NIFTY_Option[PE VOL],1)</f>
        <v>0.51141920360600657</v>
      </c>
      <c r="E25" s="8">
        <v>385716</v>
      </c>
      <c r="F25" s="8">
        <v>36338779</v>
      </c>
      <c r="G25" s="5">
        <v>23550</v>
      </c>
      <c r="H25" s="7">
        <v>56080282</v>
      </c>
      <c r="I25" s="7">
        <v>881313</v>
      </c>
      <c r="J25" s="15">
        <f>NIFTY_Option[[#This Row],[CE VOL]]/LARGE(NIFTY_Option[CE VOL],1)</f>
        <v>1</v>
      </c>
      <c r="K25" s="18">
        <f>IF(NIFTY_Option[[#This Row],[VOL%]]&gt;0.4, NIFTY_Option[[#This Row],[CE OI]], "")</f>
        <v>881313</v>
      </c>
      <c r="L25" s="28">
        <f>IFERROR(NIFTY_Option[[#This Row],[OI]]/LARGE(NIFTY_Option[OI],1), "")</f>
        <v>1</v>
      </c>
    </row>
    <row r="26" spans="2:12" x14ac:dyDescent="0.4">
      <c r="B26" s="26">
        <f t="shared" ref="B26:B45" si="1">IFERROR(C26/LARGE($C$6:$C$45,1), "")</f>
        <v>1</v>
      </c>
      <c r="C26" s="18">
        <f>IF(D26&gt;0.4, NIFTY_Option[[#This Row],[PE OI]], "")</f>
        <v>1043110</v>
      </c>
      <c r="D26" s="15">
        <f>NIFTY_Option[[#This Row],[PE VOL]]/LARGE(NIFTY_Option[PE VOL],1)</f>
        <v>1</v>
      </c>
      <c r="E26" s="8">
        <v>1043110</v>
      </c>
      <c r="F26" s="8">
        <v>71054780</v>
      </c>
      <c r="G26" s="5">
        <v>23500</v>
      </c>
      <c r="H26" s="7">
        <v>31247000</v>
      </c>
      <c r="I26" s="7">
        <v>276812</v>
      </c>
      <c r="J26" s="15">
        <f>NIFTY_Option[[#This Row],[CE VOL]]/LARGE(NIFTY_Option[CE VOL],1)</f>
        <v>0.55718336081120279</v>
      </c>
      <c r="K26" s="18">
        <f>IF(NIFTY_Option[[#This Row],[VOL%]]&gt;0.4, NIFTY_Option[[#This Row],[CE OI]], "")</f>
        <v>276812</v>
      </c>
      <c r="L26" s="28">
        <f>IFERROR(NIFTY_Option[[#This Row],[OI]]/LARGE(NIFTY_Option[OI],1), "")</f>
        <v>0.31409045367536848</v>
      </c>
    </row>
    <row r="27" spans="2:12" x14ac:dyDescent="0.4">
      <c r="B27" s="26" t="str">
        <f t="shared" si="1"/>
        <v/>
      </c>
      <c r="C27" s="18" t="str">
        <f>IF(D27&gt;0.4, NIFTY_Option[[#This Row],[PE OI]], "")</f>
        <v/>
      </c>
      <c r="D27" s="15">
        <f>NIFTY_Option[[#This Row],[PE VOL]]/LARGE(NIFTY_Option[PE VOL],1)</f>
        <v>0.37146992785003347</v>
      </c>
      <c r="E27" s="8">
        <v>181763</v>
      </c>
      <c r="F27" s="8">
        <v>26394714</v>
      </c>
      <c r="G27" s="5">
        <v>23450</v>
      </c>
      <c r="H27" s="7">
        <v>4809529</v>
      </c>
      <c r="I27" s="7">
        <v>47298</v>
      </c>
      <c r="J27" s="15">
        <f>NIFTY_Option[[#This Row],[CE VOL]]/LARGE(NIFTY_Option[CE VOL],1)</f>
        <v>8.5761498132266883E-2</v>
      </c>
      <c r="K27" s="18" t="str">
        <f>IF(NIFTY_Option[[#This Row],[VOL%]]&gt;0.4, NIFTY_Option[[#This Row],[CE OI]], "")</f>
        <v/>
      </c>
      <c r="L27" s="28" t="str">
        <f>IFERROR(NIFTY_Option[[#This Row],[OI]]/LARGE(NIFTY_Option[OI],1), "")</f>
        <v/>
      </c>
    </row>
    <row r="28" spans="2:12" x14ac:dyDescent="0.4">
      <c r="B28" s="26" t="str">
        <f t="shared" si="1"/>
        <v/>
      </c>
      <c r="C28" s="18" t="str">
        <f>IF(D28&gt;0.4, NIFTY_Option[[#This Row],[PE OI]], "")</f>
        <v/>
      </c>
      <c r="D28" s="15">
        <f>NIFTY_Option[[#This Row],[PE VOL]]/LARGE(NIFTY_Option[PE VOL],1)</f>
        <v>0.26708017391651906</v>
      </c>
      <c r="E28" s="8">
        <v>250639</v>
      </c>
      <c r="F28" s="8">
        <v>18977323</v>
      </c>
      <c r="G28" s="5">
        <v>23400</v>
      </c>
      <c r="H28" s="7">
        <v>2300010</v>
      </c>
      <c r="I28" s="7">
        <v>43227</v>
      </c>
      <c r="J28" s="15">
        <f>NIFTY_Option[[#This Row],[CE VOL]]/LARGE(NIFTY_Option[CE VOL],1)</f>
        <v>4.1012810884224871E-2</v>
      </c>
      <c r="K28" s="18" t="str">
        <f>IF(NIFTY_Option[[#This Row],[VOL%]]&gt;0.4, NIFTY_Option[[#This Row],[CE OI]], "")</f>
        <v/>
      </c>
      <c r="L28" s="28" t="str">
        <f>IFERROR(NIFTY_Option[[#This Row],[OI]]/LARGE(NIFTY_Option[OI],1), "")</f>
        <v/>
      </c>
    </row>
    <row r="29" spans="2:12" x14ac:dyDescent="0.4">
      <c r="B29" s="26" t="str">
        <f t="shared" si="1"/>
        <v/>
      </c>
      <c r="C29" s="18" t="str">
        <f>IF(D29&gt;0.4, NIFTY_Option[[#This Row],[PE OI]], "")</f>
        <v/>
      </c>
      <c r="D29" s="15">
        <f>NIFTY_Option[[#This Row],[PE VOL]]/LARGE(NIFTY_Option[PE VOL],1)</f>
        <v>0.17417982294787204</v>
      </c>
      <c r="E29" s="8">
        <v>114831</v>
      </c>
      <c r="F29" s="8">
        <v>12376309</v>
      </c>
      <c r="G29" s="5">
        <v>23350</v>
      </c>
      <c r="H29" s="7">
        <v>357159</v>
      </c>
      <c r="I29" s="7">
        <v>6825</v>
      </c>
      <c r="J29" s="15">
        <f>NIFTY_Option[[#This Row],[CE VOL]]/LARGE(NIFTY_Option[CE VOL],1)</f>
        <v>6.3687090589166434E-3</v>
      </c>
      <c r="K29" s="18" t="str">
        <f>IF(NIFTY_Option[[#This Row],[VOL%]]&gt;0.4, NIFTY_Option[[#This Row],[CE OI]], "")</f>
        <v/>
      </c>
      <c r="L29" s="28" t="str">
        <f>IFERROR(NIFTY_Option[[#This Row],[OI]]/LARGE(NIFTY_Option[OI],1), "")</f>
        <v/>
      </c>
    </row>
    <row r="30" spans="2:12" x14ac:dyDescent="0.4">
      <c r="B30" s="26" t="str">
        <f t="shared" si="1"/>
        <v/>
      </c>
      <c r="C30" s="18" t="str">
        <f>IF(D30&gt;0.4, NIFTY_Option[[#This Row],[PE OI]], "")</f>
        <v/>
      </c>
      <c r="D30" s="15">
        <f>NIFTY_Option[[#This Row],[PE VOL]]/LARGE(NIFTY_Option[PE VOL],1)</f>
        <v>0.18808272997256484</v>
      </c>
      <c r="E30" s="8">
        <v>177898</v>
      </c>
      <c r="F30" s="8">
        <v>13364177</v>
      </c>
      <c r="G30" s="5">
        <v>23300</v>
      </c>
      <c r="H30" s="7">
        <v>350297</v>
      </c>
      <c r="I30" s="7">
        <v>5813</v>
      </c>
      <c r="J30" s="15">
        <f>NIFTY_Option[[#This Row],[CE VOL]]/LARGE(NIFTY_Option[CE VOL],1)</f>
        <v>6.2463487612276986E-3</v>
      </c>
      <c r="K30" s="18" t="str">
        <f>IF(NIFTY_Option[[#This Row],[VOL%]]&gt;0.4, NIFTY_Option[[#This Row],[CE OI]], "")</f>
        <v/>
      </c>
      <c r="L30" s="28" t="str">
        <f>IFERROR(NIFTY_Option[[#This Row],[OI]]/LARGE(NIFTY_Option[OI],1), "")</f>
        <v/>
      </c>
    </row>
    <row r="31" spans="2:12" x14ac:dyDescent="0.4">
      <c r="B31" s="26" t="str">
        <f t="shared" si="1"/>
        <v/>
      </c>
      <c r="C31" s="18" t="str">
        <f>IF(D31&gt;0.4, NIFTY_Option[[#This Row],[PE OI]], "")</f>
        <v/>
      </c>
      <c r="D31" s="15">
        <f>NIFTY_Option[[#This Row],[PE VOL]]/LARGE(NIFTY_Option[PE VOL],1)</f>
        <v>9.9581857828565504E-2</v>
      </c>
      <c r="E31" s="8">
        <v>132349</v>
      </c>
      <c r="F31" s="8">
        <v>7075767</v>
      </c>
      <c r="G31" s="5">
        <v>23250</v>
      </c>
      <c r="H31" s="7">
        <v>46860</v>
      </c>
      <c r="I31" s="7">
        <v>2137</v>
      </c>
      <c r="J31" s="15">
        <f>NIFTY_Option[[#This Row],[CE VOL]]/LARGE(NIFTY_Option[CE VOL],1)</f>
        <v>8.3558780963333959E-4</v>
      </c>
      <c r="K31" s="18" t="str">
        <f>IF(NIFTY_Option[[#This Row],[VOL%]]&gt;0.4, NIFTY_Option[[#This Row],[CE OI]], "")</f>
        <v/>
      </c>
      <c r="L31" s="28" t="str">
        <f>IFERROR(NIFTY_Option[[#This Row],[OI]]/LARGE(NIFTY_Option[OI],1), "")</f>
        <v/>
      </c>
    </row>
    <row r="32" spans="2:12" x14ac:dyDescent="0.4">
      <c r="B32" s="26" t="str">
        <f t="shared" si="1"/>
        <v/>
      </c>
      <c r="C32" s="18" t="str">
        <f>IF(D32&gt;0.4, NIFTY_Option[[#This Row],[PE OI]], "")</f>
        <v/>
      </c>
      <c r="D32" s="15">
        <f>NIFTY_Option[[#This Row],[PE VOL]]/LARGE(NIFTY_Option[PE VOL],1)</f>
        <v>0.11718844249464991</v>
      </c>
      <c r="E32" s="8">
        <v>165467</v>
      </c>
      <c r="F32" s="8">
        <v>8326799</v>
      </c>
      <c r="G32" s="5">
        <v>23200</v>
      </c>
      <c r="H32" s="7">
        <v>55802</v>
      </c>
      <c r="I32" s="7">
        <v>942</v>
      </c>
      <c r="J32" s="15">
        <f>NIFTY_Option[[#This Row],[CE VOL]]/LARGE(NIFTY_Option[CE VOL],1)</f>
        <v>9.9503779242764872E-4</v>
      </c>
      <c r="K32" s="18" t="str">
        <f>IF(NIFTY_Option[[#This Row],[VOL%]]&gt;0.4, NIFTY_Option[[#This Row],[CE OI]], "")</f>
        <v/>
      </c>
      <c r="L32" s="28" t="str">
        <f>IFERROR(NIFTY_Option[[#This Row],[OI]]/LARGE(NIFTY_Option[OI],1), "")</f>
        <v/>
      </c>
    </row>
    <row r="33" spans="2:12" x14ac:dyDescent="0.4">
      <c r="B33" s="26" t="str">
        <f t="shared" si="1"/>
        <v/>
      </c>
      <c r="C33" s="18" t="str">
        <f>IF(D33&gt;0.4, NIFTY_Option[[#This Row],[PE OI]], "")</f>
        <v/>
      </c>
      <c r="D33" s="15">
        <f>NIFTY_Option[[#This Row],[PE VOL]]/LARGE(NIFTY_Option[PE VOL],1)</f>
        <v>6.3696418453480536E-2</v>
      </c>
      <c r="E33" s="8">
        <v>127214</v>
      </c>
      <c r="F33" s="8">
        <v>4525935</v>
      </c>
      <c r="G33" s="5">
        <v>23150</v>
      </c>
      <c r="H33" s="7">
        <v>6927</v>
      </c>
      <c r="I33" s="7">
        <v>119</v>
      </c>
      <c r="J33" s="15">
        <f>NIFTY_Option[[#This Row],[CE VOL]]/LARGE(NIFTY_Option[CE VOL],1)</f>
        <v>1.235193503484879E-4</v>
      </c>
      <c r="K33" s="18" t="str">
        <f>IF(NIFTY_Option[[#This Row],[VOL%]]&gt;0.4, NIFTY_Option[[#This Row],[CE OI]], "")</f>
        <v/>
      </c>
      <c r="L33" s="28" t="str">
        <f>IFERROR(NIFTY_Option[[#This Row],[OI]]/LARGE(NIFTY_Option[OI],1), "")</f>
        <v/>
      </c>
    </row>
    <row r="34" spans="2:12" x14ac:dyDescent="0.4">
      <c r="B34" s="26" t="str">
        <f t="shared" si="1"/>
        <v/>
      </c>
      <c r="C34" s="18" t="str">
        <f>IF(D34&gt;0.4, NIFTY_Option[[#This Row],[PE OI]], "")</f>
        <v/>
      </c>
      <c r="D34" s="15">
        <f>NIFTY_Option[[#This Row],[PE VOL]]/LARGE(NIFTY_Option[PE VOL],1)</f>
        <v>6.9267134455978888E-2</v>
      </c>
      <c r="E34" s="8">
        <v>188840</v>
      </c>
      <c r="F34" s="8">
        <v>4921761</v>
      </c>
      <c r="G34" s="5">
        <v>23100</v>
      </c>
      <c r="H34" s="7">
        <v>12653</v>
      </c>
      <c r="I34" s="7">
        <v>350</v>
      </c>
      <c r="J34" s="15">
        <f>NIFTY_Option[[#This Row],[CE VOL]]/LARGE(NIFTY_Option[CE VOL],1)</f>
        <v>2.2562297386450374E-4</v>
      </c>
      <c r="K34" s="18" t="str">
        <f>IF(NIFTY_Option[[#This Row],[VOL%]]&gt;0.4, NIFTY_Option[[#This Row],[CE OI]], "")</f>
        <v/>
      </c>
      <c r="L34" s="28" t="str">
        <f>IFERROR(NIFTY_Option[[#This Row],[OI]]/LARGE(NIFTY_Option[OI],1), "")</f>
        <v/>
      </c>
    </row>
    <row r="35" spans="2:12" x14ac:dyDescent="0.4">
      <c r="B35" s="26" t="str">
        <f t="shared" si="1"/>
        <v/>
      </c>
      <c r="C35" s="18" t="str">
        <f>IF(D35&gt;0.4, NIFTY_Option[[#This Row],[PE OI]], "")</f>
        <v/>
      </c>
      <c r="D35" s="15">
        <f>NIFTY_Option[[#This Row],[PE VOL]]/LARGE(NIFTY_Option[PE VOL],1)</f>
        <v>4.378141766113413E-2</v>
      </c>
      <c r="E35" s="8">
        <v>88563</v>
      </c>
      <c r="F35" s="8">
        <v>3110879</v>
      </c>
      <c r="G35" s="5">
        <v>23050</v>
      </c>
      <c r="H35" s="7">
        <v>1810</v>
      </c>
      <c r="I35" s="7">
        <v>494</v>
      </c>
      <c r="J35" s="15">
        <f>NIFTY_Option[[#This Row],[CE VOL]]/LARGE(NIFTY_Option[CE VOL],1)</f>
        <v>3.2275158673417509E-5</v>
      </c>
      <c r="K35" s="18" t="str">
        <f>IF(NIFTY_Option[[#This Row],[VOL%]]&gt;0.4, NIFTY_Option[[#This Row],[CE OI]], "")</f>
        <v/>
      </c>
      <c r="L35" s="28" t="str">
        <f>IFERROR(NIFTY_Option[[#This Row],[OI]]/LARGE(NIFTY_Option[OI],1), "")</f>
        <v/>
      </c>
    </row>
    <row r="36" spans="2:12" x14ac:dyDescent="0.4">
      <c r="B36" s="26" t="str">
        <f t="shared" si="1"/>
        <v/>
      </c>
      <c r="C36" s="18" t="str">
        <f>IF(D36&gt;0.4, NIFTY_Option[[#This Row],[PE OI]], "")</f>
        <v/>
      </c>
      <c r="D36" s="15">
        <f>NIFTY_Option[[#This Row],[PE VOL]]/LARGE(NIFTY_Option[PE VOL],1)</f>
        <v>0.10775860540276108</v>
      </c>
      <c r="E36" s="8">
        <v>306339</v>
      </c>
      <c r="F36" s="8">
        <v>7656764</v>
      </c>
      <c r="G36" s="5">
        <v>23000</v>
      </c>
      <c r="H36" s="7">
        <v>31955</v>
      </c>
      <c r="I36" s="7">
        <v>1091</v>
      </c>
      <c r="J36" s="15">
        <f>NIFTY_Option[[#This Row],[CE VOL]]/LARGE(NIFTY_Option[CE VOL],1)</f>
        <v>5.6980811901052853E-4</v>
      </c>
      <c r="K36" s="18" t="str">
        <f>IF(NIFTY_Option[[#This Row],[VOL%]]&gt;0.4, NIFTY_Option[[#This Row],[CE OI]], "")</f>
        <v/>
      </c>
      <c r="L36" s="28" t="str">
        <f>IFERROR(NIFTY_Option[[#This Row],[OI]]/LARGE(NIFTY_Option[OI],1), "")</f>
        <v/>
      </c>
    </row>
    <row r="37" spans="2:12" x14ac:dyDescent="0.4">
      <c r="B37" s="26" t="str">
        <f t="shared" si="1"/>
        <v/>
      </c>
      <c r="C37" s="18" t="str">
        <f>IF(D37&gt;0.4, NIFTY_Option[[#This Row],[PE OI]], "")</f>
        <v/>
      </c>
      <c r="D37" s="15">
        <f>NIFTY_Option[[#This Row],[PE VOL]]/LARGE(NIFTY_Option[PE VOL],1)</f>
        <v>3.2553995663627412E-2</v>
      </c>
      <c r="E37" s="8">
        <v>84941</v>
      </c>
      <c r="F37" s="8">
        <v>2313117</v>
      </c>
      <c r="G37" s="5">
        <v>22950</v>
      </c>
      <c r="H37" s="7">
        <v>370</v>
      </c>
      <c r="I37" s="7">
        <v>24</v>
      </c>
      <c r="J37" s="15">
        <f>NIFTY_Option[[#This Row],[CE VOL]]/LARGE(NIFTY_Option[CE VOL],1)</f>
        <v>6.5976843697041325E-6</v>
      </c>
      <c r="K37" s="18" t="str">
        <f>IF(NIFTY_Option[[#This Row],[VOL%]]&gt;0.4, NIFTY_Option[[#This Row],[CE OI]], "")</f>
        <v/>
      </c>
      <c r="L37" s="28" t="str">
        <f>IFERROR(NIFTY_Option[[#This Row],[OI]]/LARGE(NIFTY_Option[OI],1), "")</f>
        <v/>
      </c>
    </row>
    <row r="38" spans="2:12" x14ac:dyDescent="0.4">
      <c r="B38" s="26" t="str">
        <f t="shared" si="1"/>
        <v/>
      </c>
      <c r="C38" s="18" t="str">
        <f>IF(D38&gt;0.4, NIFTY_Option[[#This Row],[PE OI]], "")</f>
        <v/>
      </c>
      <c r="D38" s="15">
        <f>NIFTY_Option[[#This Row],[PE VOL]]/LARGE(NIFTY_Option[PE VOL],1)</f>
        <v>3.9865213853311487E-2</v>
      </c>
      <c r="E38" s="8">
        <v>181893</v>
      </c>
      <c r="F38" s="8">
        <v>2832614</v>
      </c>
      <c r="G38" s="5">
        <v>22900</v>
      </c>
      <c r="H38" s="7">
        <v>371</v>
      </c>
      <c r="I38" s="7">
        <v>41</v>
      </c>
      <c r="J38" s="15">
        <f>NIFTY_Option[[#This Row],[CE VOL]]/LARGE(NIFTY_Option[CE VOL],1)</f>
        <v>6.6155159490817113E-6</v>
      </c>
      <c r="K38" s="18" t="str">
        <f>IF(NIFTY_Option[[#This Row],[VOL%]]&gt;0.4, NIFTY_Option[[#This Row],[CE OI]], "")</f>
        <v/>
      </c>
      <c r="L38" s="28" t="str">
        <f>IFERROR(NIFTY_Option[[#This Row],[OI]]/LARGE(NIFTY_Option[OI],1), "")</f>
        <v/>
      </c>
    </row>
    <row r="39" spans="2:12" x14ac:dyDescent="0.4">
      <c r="B39" s="26" t="str">
        <f t="shared" si="1"/>
        <v/>
      </c>
      <c r="C39" s="18" t="str">
        <f>IF(D39&gt;0.4, NIFTY_Option[[#This Row],[PE OI]], "")</f>
        <v/>
      </c>
      <c r="D39" s="15">
        <f>NIFTY_Option[[#This Row],[PE VOL]]/LARGE(NIFTY_Option[PE VOL],1)</f>
        <v>1.9189644947180191E-2</v>
      </c>
      <c r="E39" s="8">
        <v>76764</v>
      </c>
      <c r="F39" s="8">
        <v>1363516</v>
      </c>
      <c r="G39" s="5">
        <v>22850</v>
      </c>
      <c r="H39" s="7">
        <v>104</v>
      </c>
      <c r="I39" s="7">
        <v>16</v>
      </c>
      <c r="J39" s="15">
        <f>NIFTY_Option[[#This Row],[CE VOL]]/LARGE(NIFTY_Option[CE VOL],1)</f>
        <v>1.8544842552681886E-6</v>
      </c>
      <c r="K39" s="18" t="str">
        <f>IF(NIFTY_Option[[#This Row],[VOL%]]&gt;0.4, NIFTY_Option[[#This Row],[CE OI]], "")</f>
        <v/>
      </c>
      <c r="L39" s="28" t="str">
        <f>IFERROR(NIFTY_Option[[#This Row],[OI]]/LARGE(NIFTY_Option[OI],1), "")</f>
        <v/>
      </c>
    </row>
    <row r="40" spans="2:12" x14ac:dyDescent="0.4">
      <c r="B40" s="26" t="str">
        <f t="shared" si="1"/>
        <v/>
      </c>
      <c r="C40" s="18" t="str">
        <f>IF(D40&gt;0.4, NIFTY_Option[[#This Row],[PE OI]], "")</f>
        <v/>
      </c>
      <c r="D40" s="15">
        <f>NIFTY_Option[[#This Row],[PE VOL]]/LARGE(NIFTY_Option[PE VOL],1)</f>
        <v>3.5759494294402151E-2</v>
      </c>
      <c r="E40" s="8">
        <v>203005</v>
      </c>
      <c r="F40" s="8">
        <v>2540883</v>
      </c>
      <c r="G40" s="5">
        <v>22800</v>
      </c>
      <c r="H40" s="7">
        <v>307</v>
      </c>
      <c r="I40" s="7">
        <v>38</v>
      </c>
      <c r="J40" s="15">
        <f>NIFTY_Option[[#This Row],[CE VOL]]/LARGE(NIFTY_Option[CE VOL],1)</f>
        <v>5.4742948689166716E-6</v>
      </c>
      <c r="K40" s="18" t="str">
        <f>IF(NIFTY_Option[[#This Row],[VOL%]]&gt;0.4, NIFTY_Option[[#This Row],[CE OI]], "")</f>
        <v/>
      </c>
      <c r="L40" s="28" t="str">
        <f>IFERROR(NIFTY_Option[[#This Row],[OI]]/LARGE(NIFTY_Option[OI],1), "")</f>
        <v/>
      </c>
    </row>
    <row r="41" spans="2:12" x14ac:dyDescent="0.4">
      <c r="B41" s="26" t="str">
        <f t="shared" si="1"/>
        <v/>
      </c>
      <c r="C41" s="18" t="str">
        <f>IF(D41&gt;0.4, NIFTY_Option[[#This Row],[PE OI]], "")</f>
        <v/>
      </c>
      <c r="D41" s="15">
        <f>NIFTY_Option[[#This Row],[PE VOL]]/LARGE(NIFTY_Option[PE VOL],1)</f>
        <v>1.0951634780939438E-2</v>
      </c>
      <c r="E41" s="8">
        <v>81755</v>
      </c>
      <c r="F41" s="8">
        <v>778166</v>
      </c>
      <c r="G41" s="5">
        <v>22750</v>
      </c>
      <c r="H41" s="7">
        <v>58</v>
      </c>
      <c r="I41" s="7">
        <v>26</v>
      </c>
      <c r="J41" s="15">
        <f>NIFTY_Option[[#This Row],[CE VOL]]/LARGE(NIFTY_Option[CE VOL],1)</f>
        <v>1.0342316038995667E-6</v>
      </c>
      <c r="K41" s="18" t="str">
        <f>IF(NIFTY_Option[[#This Row],[VOL%]]&gt;0.4, NIFTY_Option[[#This Row],[CE OI]], "")</f>
        <v/>
      </c>
      <c r="L41" s="28" t="str">
        <f>IFERROR(NIFTY_Option[[#This Row],[OI]]/LARGE(NIFTY_Option[OI],1), "")</f>
        <v/>
      </c>
    </row>
    <row r="42" spans="2:12" x14ac:dyDescent="0.4">
      <c r="B42" s="26" t="str">
        <f t="shared" si="1"/>
        <v/>
      </c>
      <c r="C42" s="18" t="str">
        <f>IF(D42&gt;0.4, NIFTY_Option[[#This Row],[PE OI]], "")</f>
        <v/>
      </c>
      <c r="D42" s="15">
        <f>NIFTY_Option[[#This Row],[PE VOL]]/LARGE(NIFTY_Option[PE VOL],1)</f>
        <v>1.7124041478982836E-2</v>
      </c>
      <c r="E42" s="8">
        <v>110861</v>
      </c>
      <c r="F42" s="8">
        <v>1216745</v>
      </c>
      <c r="G42" s="5">
        <v>22700</v>
      </c>
      <c r="H42" s="7">
        <v>60</v>
      </c>
      <c r="I42" s="7">
        <v>80</v>
      </c>
      <c r="J42" s="15">
        <f>NIFTY_Option[[#This Row],[CE VOL]]/LARGE(NIFTY_Option[CE VOL],1)</f>
        <v>1.0698947626547243E-6</v>
      </c>
      <c r="K42" s="18" t="str">
        <f>IF(NIFTY_Option[[#This Row],[VOL%]]&gt;0.4, NIFTY_Option[[#This Row],[CE OI]], "")</f>
        <v/>
      </c>
      <c r="L42" s="28" t="str">
        <f>IFERROR(NIFTY_Option[[#This Row],[OI]]/LARGE(NIFTY_Option[OI],1), "")</f>
        <v/>
      </c>
    </row>
    <row r="43" spans="2:12" x14ac:dyDescent="0.4">
      <c r="B43" s="26" t="str">
        <f t="shared" si="1"/>
        <v/>
      </c>
      <c r="C43" s="18" t="str">
        <f>IF(D43&gt;0.4, NIFTY_Option[[#This Row],[PE OI]], "")</f>
        <v/>
      </c>
      <c r="D43" s="15">
        <f>NIFTY_Option[[#This Row],[PE VOL]]/LARGE(NIFTY_Option[PE VOL],1)</f>
        <v>7.6435533260394307E-3</v>
      </c>
      <c r="E43" s="8">
        <v>56871</v>
      </c>
      <c r="F43" s="8">
        <v>543111</v>
      </c>
      <c r="G43" s="5">
        <v>22650</v>
      </c>
      <c r="H43" s="7">
        <v>64</v>
      </c>
      <c r="I43" s="7">
        <v>21</v>
      </c>
      <c r="J43" s="15">
        <f>NIFTY_Option[[#This Row],[CE VOL]]/LARGE(NIFTY_Option[CE VOL],1)</f>
        <v>1.1412210801650391E-6</v>
      </c>
      <c r="K43" s="18" t="str">
        <f>IF(NIFTY_Option[[#This Row],[VOL%]]&gt;0.4, NIFTY_Option[[#This Row],[CE OI]], "")</f>
        <v/>
      </c>
      <c r="L43" s="28" t="str">
        <f>IFERROR(NIFTY_Option[[#This Row],[OI]]/LARGE(NIFTY_Option[OI],1), "")</f>
        <v/>
      </c>
    </row>
    <row r="44" spans="2:12" x14ac:dyDescent="0.4">
      <c r="B44" s="26" t="str">
        <f t="shared" si="1"/>
        <v/>
      </c>
      <c r="C44" s="18" t="str">
        <f>IF(D44&gt;0.4, NIFTY_Option[[#This Row],[PE OI]], "")</f>
        <v/>
      </c>
      <c r="D44" s="15">
        <f>NIFTY_Option[[#This Row],[PE VOL]]/LARGE(NIFTY_Option[PE VOL],1)</f>
        <v>1.4278631219461942E-2</v>
      </c>
      <c r="E44" s="8">
        <v>79912</v>
      </c>
      <c r="F44" s="8">
        <v>1014565</v>
      </c>
      <c r="G44" s="5">
        <v>22600</v>
      </c>
      <c r="H44" s="7">
        <v>26</v>
      </c>
      <c r="I44" s="7">
        <v>6</v>
      </c>
      <c r="J44" s="15">
        <f>NIFTY_Option[[#This Row],[CE VOL]]/LARGE(NIFTY_Option[CE VOL],1)</f>
        <v>4.6362106381704714E-7</v>
      </c>
      <c r="K44" s="18" t="str">
        <f>IF(NIFTY_Option[[#This Row],[VOL%]]&gt;0.4, NIFTY_Option[[#This Row],[CE OI]], "")</f>
        <v/>
      </c>
      <c r="L44" s="28" t="str">
        <f>IFERROR(NIFTY_Option[[#This Row],[OI]]/LARGE(NIFTY_Option[OI],1), "")</f>
        <v/>
      </c>
    </row>
    <row r="45" spans="2:12" x14ac:dyDescent="0.4">
      <c r="B45" s="26" t="str">
        <f t="shared" si="1"/>
        <v/>
      </c>
      <c r="C45" s="18" t="str">
        <f>IF(D45&gt;0.4, NIFTY_Option[[#This Row],[PE OI]], "")</f>
        <v/>
      </c>
      <c r="D45" s="15">
        <f>NIFTY_Option[[#This Row],[PE VOL]]/LARGE(NIFTY_Option[PE VOL],1)</f>
        <v>5.8263919753181979E-3</v>
      </c>
      <c r="E45" s="8">
        <v>43050</v>
      </c>
      <c r="F45" s="8">
        <v>413993</v>
      </c>
      <c r="G45" s="5">
        <v>22550</v>
      </c>
      <c r="H45" s="7">
        <v>31</v>
      </c>
      <c r="I45" s="7">
        <v>28</v>
      </c>
      <c r="J45" s="15">
        <f>NIFTY_Option[[#This Row],[CE VOL]]/LARGE(NIFTY_Option[CE VOL],1)</f>
        <v>5.5277896070494078E-7</v>
      </c>
      <c r="K45" s="18" t="str">
        <f>IF(NIFTY_Option[[#This Row],[VOL%]]&gt;0.4, NIFTY_Option[[#This Row],[CE OI]], "")</f>
        <v/>
      </c>
      <c r="L45" s="28" t="str">
        <f>IFERROR(NIFTY_Option[[#This Row],[OI]]/LARGE(NIFTY_Option[OI],1), "")</f>
        <v/>
      </c>
    </row>
    <row r="46" spans="2:12" x14ac:dyDescent="0.4">
      <c r="B46" s="26"/>
      <c r="D46" s="15"/>
    </row>
  </sheetData>
  <conditionalFormatting sqref="D6:D46">
    <cfRule type="expression" dxfId="69" priority="18">
      <formula>OR(AND(D6=LARGE($D:$D,1), D6*0.8&lt;=LARGE($D:$D,2)), AND(D6=LARGE($D:$D,2), D6&gt;=LARGE($D:$D,1)*0.8))</formula>
    </cfRule>
    <cfRule type="expression" dxfId="68" priority="19">
      <formula>D6=LARGE($D:$D,3)</formula>
    </cfRule>
    <cfRule type="expression" dxfId="67" priority="20">
      <formula>D6=LARGE($D:$D,2)</formula>
    </cfRule>
    <cfRule type="top10" dxfId="66" priority="21" rank="1"/>
    <cfRule type="expression" dxfId="65" priority="22">
      <formula>D6&gt;=0.4</formula>
    </cfRule>
  </conditionalFormatting>
  <conditionalFormatting sqref="J6:J45">
    <cfRule type="expression" dxfId="64" priority="405">
      <formula>OR(AND(J6=LARGE($J:$J,1), J6*0.8&lt;=LARGE($J:$J,2)), AND(J6=LARGE($J:$J,2), J6&gt;=LARGE($J:$J,1)*0.8))</formula>
    </cfRule>
    <cfRule type="expression" dxfId="63" priority="406">
      <formula>J6=LARGE($J:$J,3)</formula>
    </cfRule>
    <cfRule type="expression" dxfId="62" priority="407">
      <formula>J6=LARGE($J:$J,2)</formula>
    </cfRule>
    <cfRule type="top10" dxfId="61" priority="408" rank="1"/>
    <cfRule type="expression" dxfId="60" priority="409">
      <formula>J6&gt;=0.4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equal" id="{86394206-15AE-49AA-AB9C-00D46D3015EC}">
            <xm:f>'Cookies And Miscellaneous'!$D$15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G6:G45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F0606-F6F5-4B05-86A6-264ACBDBBEEF}">
  <sheetPr codeName="Sheet4"/>
  <dimension ref="A1:M44"/>
  <sheetViews>
    <sheetView zoomScaleNormal="115" workbookViewId="0">
      <selection activeCell="R24" sqref="R24"/>
    </sheetView>
  </sheetViews>
  <sheetFormatPr defaultRowHeight="14.6" x14ac:dyDescent="0.4"/>
  <cols>
    <col min="1" max="1" width="6.921875" bestFit="1" customWidth="1"/>
    <col min="2" max="3" width="7.921875" bestFit="1" customWidth="1"/>
    <col min="4" max="4" width="6.921875" customWidth="1"/>
    <col min="5" max="13" width="9.23046875" bestFit="1" customWidth="1"/>
    <col min="14" max="16" width="5.69140625" bestFit="1" customWidth="1"/>
    <col min="17" max="17" width="4.69140625" bestFit="1" customWidth="1"/>
  </cols>
  <sheetData>
    <row r="1" spans="2:13" x14ac:dyDescent="0.4">
      <c r="E1" s="44" t="s">
        <v>19</v>
      </c>
      <c r="F1" s="44"/>
      <c r="G1" s="44"/>
      <c r="J1" s="45" t="s">
        <v>20</v>
      </c>
      <c r="K1" s="45"/>
      <c r="L1" s="45"/>
    </row>
    <row r="2" spans="2:13" x14ac:dyDescent="0.4">
      <c r="E2" s="21" t="s">
        <v>21</v>
      </c>
      <c r="F2" s="6"/>
      <c r="G2" s="20" t="s">
        <v>22</v>
      </c>
      <c r="J2" s="21" t="s">
        <v>21</v>
      </c>
      <c r="L2" s="20" t="s">
        <v>22</v>
      </c>
    </row>
    <row r="3" spans="2:13" x14ac:dyDescent="0.4">
      <c r="E3" s="21" t="str" cm="1">
        <f t="array" ref="E3:E43">Nifty!D5:D45</f>
        <v>VOL%</v>
      </c>
      <c r="F3" s="17" t="str" cm="1">
        <f t="array" ref="F3:F43">NIFTY_Option[[#All],[Strikes]]</f>
        <v>Strikes</v>
      </c>
      <c r="G3" s="20" t="str" cm="1">
        <f t="array" ref="G3:G43">NIFTY_Option[[#All],[VOL%]]</f>
        <v>VOL%</v>
      </c>
      <c r="J3" s="21" t="str" cm="1">
        <f t="array" ref="J3:J43">BankNifty!D5:D45</f>
        <v>VOL %</v>
      </c>
      <c r="K3" s="17" t="str" cm="1">
        <f t="array" ref="K3:K43">BANKNIFTY_Option[[#All],[Strikes]]</f>
        <v>Strikes</v>
      </c>
      <c r="L3" s="20" t="str" cm="1">
        <f t="array" ref="L3:L43">BANKNIFTY_Option[[#All],[VOL %]]</f>
        <v>VOL %</v>
      </c>
    </row>
    <row r="4" spans="2:13" x14ac:dyDescent="0.4">
      <c r="D4" s="25" t="str" cm="1">
        <f t="array" ref="D4:D43">Nifty!B6:B45</f>
        <v/>
      </c>
      <c r="E4" s="25">
        <v>1.886572585264496E-4</v>
      </c>
      <c r="F4" s="17">
        <v>24500</v>
      </c>
      <c r="G4" s="25">
        <v>5.3505294427727737E-2</v>
      </c>
      <c r="H4" s="25" t="str" cm="1">
        <f t="array" ref="H4:H43">NIFTY_Option[OI (%)]</f>
        <v/>
      </c>
      <c r="I4" s="25" t="str" cm="1">
        <f t="array" ref="I4:I43">BankNifty!B6:B45</f>
        <v/>
      </c>
      <c r="J4" s="25">
        <v>1.0424050369011383E-3</v>
      </c>
      <c r="K4" s="17">
        <v>52150</v>
      </c>
      <c r="L4" s="25">
        <v>2.3216255976461934E-2</v>
      </c>
      <c r="M4" s="25" t="str" cm="1">
        <f t="array" ref="M4:M43">BANKNIFTY_Option[OI %]</f>
        <v/>
      </c>
    </row>
    <row r="5" spans="2:13" x14ac:dyDescent="0.4">
      <c r="D5" s="25" t="str">
        <v/>
      </c>
      <c r="E5" s="25">
        <v>2.6768079501477591E-5</v>
      </c>
      <c r="F5" s="17">
        <v>24450</v>
      </c>
      <c r="G5" s="25">
        <v>2.2185837082630933E-2</v>
      </c>
      <c r="H5" s="25" t="str">
        <v/>
      </c>
      <c r="I5" s="25" t="str">
        <v/>
      </c>
      <c r="J5" s="25">
        <v>0.23499979151899261</v>
      </c>
      <c r="K5" s="17">
        <v>52050</v>
      </c>
      <c r="L5" s="25">
        <v>1</v>
      </c>
      <c r="M5" s="25">
        <v>1</v>
      </c>
    </row>
    <row r="6" spans="2:13" x14ac:dyDescent="0.4">
      <c r="D6" s="25" t="str">
        <v/>
      </c>
      <c r="E6" s="25">
        <v>1.2557916582107495E-4</v>
      </c>
      <c r="F6" s="17">
        <v>24400</v>
      </c>
      <c r="G6" s="25">
        <v>6.3452569657192523E-2</v>
      </c>
      <c r="H6" s="25" t="str">
        <v/>
      </c>
      <c r="I6" s="25" t="str">
        <v/>
      </c>
      <c r="J6" s="25">
        <v>2.8770379018471419E-3</v>
      </c>
      <c r="K6" s="17">
        <v>51950</v>
      </c>
      <c r="L6" s="25">
        <v>3.0020228025009196E-2</v>
      </c>
      <c r="M6" s="25" t="str">
        <v/>
      </c>
    </row>
    <row r="7" spans="2:13" x14ac:dyDescent="0.4">
      <c r="D7" s="25" t="str">
        <v/>
      </c>
      <c r="E7" s="25">
        <v>4.9891084034036837E-5</v>
      </c>
      <c r="F7" s="17">
        <v>24350</v>
      </c>
      <c r="G7" s="25">
        <v>3.8379336252267776E-2</v>
      </c>
      <c r="H7" s="25" t="str">
        <v/>
      </c>
      <c r="I7" s="25" t="str">
        <v/>
      </c>
      <c r="J7" s="25">
        <v>1.5844556560897303E-3</v>
      </c>
      <c r="K7" s="17">
        <v>51850</v>
      </c>
      <c r="L7" s="25">
        <v>4.1099668995954394E-2</v>
      </c>
      <c r="M7" s="25" t="str">
        <v/>
      </c>
    </row>
    <row r="8" spans="2:13" x14ac:dyDescent="0.4">
      <c r="D8" s="25" t="str">
        <v/>
      </c>
      <c r="E8" s="25">
        <v>1.8170487615330031E-4</v>
      </c>
      <c r="F8" s="17">
        <v>24300</v>
      </c>
      <c r="G8" s="25">
        <v>8.0567444364848237E-2</v>
      </c>
      <c r="H8" s="25" t="str">
        <v/>
      </c>
      <c r="I8" s="25" t="str">
        <v/>
      </c>
      <c r="J8" s="25">
        <v>2.5434682900387774E-3</v>
      </c>
      <c r="K8" s="17">
        <v>51750</v>
      </c>
      <c r="L8" s="25">
        <v>7.3188672305994851E-2</v>
      </c>
      <c r="M8" s="25" t="str">
        <v/>
      </c>
    </row>
    <row r="9" spans="2:13" x14ac:dyDescent="0.4">
      <c r="D9" s="25" t="str">
        <v/>
      </c>
      <c r="E9" s="25">
        <v>1.3775287179835052E-4</v>
      </c>
      <c r="F9" s="17">
        <v>24250</v>
      </c>
      <c r="G9" s="25">
        <v>4.2856079076064563E-2</v>
      </c>
      <c r="H9" s="25" t="str">
        <v/>
      </c>
      <c r="I9" s="25" t="str">
        <v/>
      </c>
      <c r="J9" s="25">
        <v>1.0590835174915565E-2</v>
      </c>
      <c r="K9" s="17">
        <v>51650</v>
      </c>
      <c r="L9" s="25">
        <v>3.7467819051121738E-2</v>
      </c>
      <c r="M9" s="25" t="str">
        <v/>
      </c>
    </row>
    <row r="10" spans="2:13" x14ac:dyDescent="0.4">
      <c r="D10" s="25" t="str">
        <v/>
      </c>
      <c r="E10" s="25">
        <v>4.8051658171343291E-4</v>
      </c>
      <c r="F10" s="17">
        <v>24200</v>
      </c>
      <c r="G10" s="25">
        <v>0.10653197143338188</v>
      </c>
      <c r="H10" s="25" t="str">
        <v/>
      </c>
      <c r="I10" s="25" t="str">
        <v/>
      </c>
      <c r="J10" s="25">
        <v>0.11645749072259517</v>
      </c>
      <c r="K10" s="17">
        <v>51550</v>
      </c>
      <c r="L10" s="25">
        <v>0.43384516366311143</v>
      </c>
      <c r="M10" s="25">
        <v>0.3749776479704357</v>
      </c>
    </row>
    <row r="11" spans="2:13" x14ac:dyDescent="0.4">
      <c r="D11" s="25" t="str">
        <v/>
      </c>
      <c r="E11" s="25">
        <v>1.1081590851452921E-4</v>
      </c>
      <c r="F11" s="17">
        <v>24150</v>
      </c>
      <c r="G11" s="25">
        <v>5.4381894869929503E-2</v>
      </c>
      <c r="H11" s="25" t="str">
        <v/>
      </c>
      <c r="I11" s="25" t="str">
        <v/>
      </c>
      <c r="J11" s="25">
        <v>1.6761872993370303E-2</v>
      </c>
      <c r="K11" s="17">
        <v>51450</v>
      </c>
      <c r="L11" s="25">
        <v>3.2502758367046705E-2</v>
      </c>
      <c r="M11" s="25" t="str">
        <v/>
      </c>
    </row>
    <row r="12" spans="2:13" x14ac:dyDescent="0.4">
      <c r="D12" s="25" t="str">
        <v/>
      </c>
      <c r="E12" s="25">
        <v>4.5402997518252821E-4</v>
      </c>
      <c r="F12" s="17">
        <v>24100</v>
      </c>
      <c r="G12" s="25">
        <v>0.11434860473775792</v>
      </c>
      <c r="H12" s="25" t="str">
        <v/>
      </c>
      <c r="I12" s="25" t="str">
        <v/>
      </c>
      <c r="J12" s="25">
        <v>1.5636075553517075E-2</v>
      </c>
      <c r="K12" s="17">
        <v>51350</v>
      </c>
      <c r="L12" s="25">
        <v>3.1399411548363371E-2</v>
      </c>
      <c r="M12" s="25" t="str">
        <v/>
      </c>
    </row>
    <row r="13" spans="2:13" x14ac:dyDescent="0.4">
      <c r="D13" s="25" t="str">
        <v/>
      </c>
      <c r="E13" s="25">
        <v>2.2391174809069847E-4</v>
      </c>
      <c r="F13" s="17">
        <v>24050</v>
      </c>
      <c r="G13" s="25">
        <v>9.213204384385941E-2</v>
      </c>
      <c r="H13" s="25" t="str">
        <v/>
      </c>
      <c r="I13" s="25" t="str">
        <v/>
      </c>
      <c r="J13" s="25">
        <v>2.1682024767543676E-2</v>
      </c>
      <c r="K13" s="17">
        <v>51250</v>
      </c>
      <c r="L13" s="25">
        <v>3.6916145641780064E-2</v>
      </c>
      <c r="M13" s="25" t="str">
        <v/>
      </c>
    </row>
    <row r="14" spans="2:13" x14ac:dyDescent="0.4">
      <c r="D14" s="25" t="str">
        <v/>
      </c>
      <c r="E14" s="25">
        <v>2.0692907641118585E-3</v>
      </c>
      <c r="F14" s="17">
        <v>24000</v>
      </c>
      <c r="G14" s="25">
        <v>0.2055027826001303</v>
      </c>
      <c r="H14" s="25" t="str">
        <v/>
      </c>
      <c r="I14" s="25" t="str">
        <v/>
      </c>
      <c r="J14" s="25">
        <v>1.8221240045031898E-2</v>
      </c>
      <c r="K14" s="17">
        <v>51150</v>
      </c>
      <c r="L14" s="25">
        <v>2.1699154100772344E-2</v>
      </c>
      <c r="M14" s="25" t="str">
        <v/>
      </c>
    </row>
    <row r="15" spans="2:13" x14ac:dyDescent="0.4">
      <c r="B15" s="24"/>
      <c r="D15" s="25" t="str">
        <v/>
      </c>
      <c r="E15" s="25">
        <v>4.4779534888433968E-4</v>
      </c>
      <c r="F15" s="17">
        <v>23950</v>
      </c>
      <c r="G15" s="25">
        <v>0.1040633497527705</v>
      </c>
      <c r="H15" s="25" t="str">
        <v/>
      </c>
      <c r="I15" s="25">
        <v>0.85138846505950561</v>
      </c>
      <c r="J15" s="25">
        <v>0.55372555560188463</v>
      </c>
      <c r="K15" s="17">
        <v>51050</v>
      </c>
      <c r="L15" s="25">
        <v>0.99250643618977563</v>
      </c>
      <c r="M15" s="25">
        <v>0.61935983787327886</v>
      </c>
    </row>
    <row r="16" spans="2:13" x14ac:dyDescent="0.4">
      <c r="B16" s="24"/>
      <c r="D16" s="25" t="str">
        <v/>
      </c>
      <c r="E16" s="25">
        <v>1.8696419860845393E-3</v>
      </c>
      <c r="F16" s="17">
        <v>23900</v>
      </c>
      <c r="G16" s="25">
        <v>0.1543229044390326</v>
      </c>
      <c r="H16" s="25" t="str">
        <v/>
      </c>
      <c r="I16" s="25" t="str">
        <v/>
      </c>
      <c r="J16" s="25">
        <v>1.0382354167535338E-2</v>
      </c>
      <c r="K16" s="17">
        <v>50950</v>
      </c>
      <c r="L16" s="25">
        <v>2.436557557925708E-2</v>
      </c>
      <c r="M16" s="25" t="str">
        <v/>
      </c>
    </row>
    <row r="17" spans="1:13" x14ac:dyDescent="0.4">
      <c r="B17" s="24"/>
      <c r="D17" s="25" t="str">
        <v/>
      </c>
      <c r="E17" s="25">
        <v>1.4950155359006107E-3</v>
      </c>
      <c r="F17" s="17">
        <v>23850</v>
      </c>
      <c r="G17" s="25">
        <v>0.13576215611754591</v>
      </c>
      <c r="H17" s="25" t="str">
        <v/>
      </c>
      <c r="I17" s="25" t="str">
        <v/>
      </c>
      <c r="J17" s="25">
        <v>5.4163365717383144E-2</v>
      </c>
      <c r="K17" s="17">
        <v>50850</v>
      </c>
      <c r="L17" s="25">
        <v>7.4337991908789994E-2</v>
      </c>
      <c r="M17" s="25" t="str">
        <v/>
      </c>
    </row>
    <row r="18" spans="1:13" x14ac:dyDescent="0.4">
      <c r="D18" s="25" t="str">
        <v/>
      </c>
      <c r="E18" s="25">
        <v>9.6866952511850714E-3</v>
      </c>
      <c r="F18" s="17">
        <v>23800</v>
      </c>
      <c r="G18" s="25">
        <v>0.2338190275148759</v>
      </c>
      <c r="H18" s="25" t="str">
        <v/>
      </c>
      <c r="I18" s="25" t="str">
        <v/>
      </c>
      <c r="J18" s="25">
        <v>1.9472126089313264E-2</v>
      </c>
      <c r="K18" s="17">
        <v>50750</v>
      </c>
      <c r="L18" s="25">
        <v>5.0799926443545418E-2</v>
      </c>
      <c r="M18" s="25" t="str">
        <v/>
      </c>
    </row>
    <row r="19" spans="1:13" x14ac:dyDescent="0.4">
      <c r="C19" s="24"/>
      <c r="D19" s="25" t="str">
        <v/>
      </c>
      <c r="E19" s="25">
        <v>7.6744027636142147E-3</v>
      </c>
      <c r="F19" s="17">
        <v>23750</v>
      </c>
      <c r="G19" s="25">
        <v>0.21776436502227289</v>
      </c>
      <c r="H19" s="25" t="str">
        <v/>
      </c>
      <c r="I19" s="25" t="str">
        <v/>
      </c>
      <c r="J19" s="25">
        <v>3.5441771254638703E-2</v>
      </c>
      <c r="K19" s="17">
        <v>50650</v>
      </c>
      <c r="L19" s="25">
        <v>5.8155571901434354E-2</v>
      </c>
      <c r="M19" s="25" t="str">
        <v/>
      </c>
    </row>
    <row r="20" spans="1:13" x14ac:dyDescent="0.4">
      <c r="B20" s="22" t="s">
        <v>27</v>
      </c>
      <c r="C20" s="22" t="s">
        <v>28</v>
      </c>
      <c r="D20" s="25" t="str">
        <v/>
      </c>
      <c r="E20" s="25">
        <v>3.982165591111534E-2</v>
      </c>
      <c r="F20" s="17">
        <v>23700</v>
      </c>
      <c r="G20" s="25">
        <v>0.34264315931934863</v>
      </c>
      <c r="H20" s="25" t="str">
        <v/>
      </c>
      <c r="I20" s="25">
        <v>0.35794934391211475</v>
      </c>
      <c r="J20" s="25">
        <v>0.5598132010173873</v>
      </c>
      <c r="K20" s="17">
        <v>50550</v>
      </c>
      <c r="L20" s="25">
        <v>0.34534755424788527</v>
      </c>
      <c r="M20" s="25" t="str">
        <v/>
      </c>
    </row>
    <row r="21" spans="1:13" x14ac:dyDescent="0.4">
      <c r="A21" s="32" t="s">
        <v>23</v>
      </c>
      <c r="B21" s="33">
        <f>SUMIF(Nifty!D6:D45, "&gt;=0.5", NIFTY_Option[PE OI]) - SUMIF(NIFTY_Option[VOL%], "&gt;=0.5", NIFTY_Option[CE OI])</f>
        <v>-145758</v>
      </c>
      <c r="C21" s="33">
        <f>SUMIF(BankNifty!D6:D45, "&gt;=0.5", BANKNIFTY_Option[PE OI]) - SUMIF(BANKNIFTY_Option[VOL %], "&gt;=0.5", BANKNIFTY_Option[CE OI])</f>
        <v>22356</v>
      </c>
      <c r="D21" s="25" t="str">
        <v/>
      </c>
      <c r="E21" s="25">
        <v>6.0582088917874352E-2</v>
      </c>
      <c r="F21" s="17">
        <v>23650</v>
      </c>
      <c r="G21" s="25">
        <v>0.36931845314187256</v>
      </c>
      <c r="H21" s="25" t="str">
        <v/>
      </c>
      <c r="I21" s="25" t="str">
        <v/>
      </c>
      <c r="J21" s="25">
        <v>9.1064504023683449E-2</v>
      </c>
      <c r="K21" s="17">
        <v>50450</v>
      </c>
      <c r="L21" s="25">
        <v>5.0845899227657226E-2</v>
      </c>
      <c r="M21" s="25" t="str">
        <v/>
      </c>
    </row>
    <row r="22" spans="1:13" x14ac:dyDescent="0.4">
      <c r="A22" s="34" t="s">
        <v>26</v>
      </c>
      <c r="B22" s="35">
        <f>LARGE(NIFTY_Option[PE VOL], 1) - LARGE(NIFTY_Option[CE VOL], 1)</f>
        <v>14974498</v>
      </c>
      <c r="C22" s="35">
        <f>LARGE(BANKNIFTY_Option[PE VOL], 1) - LARGE(BANKNIFTY_Option[CE VOL], 1)</f>
        <v>2231</v>
      </c>
      <c r="D22" s="25" t="str">
        <v/>
      </c>
      <c r="E22" s="25">
        <v>0.25139610593404133</v>
      </c>
      <c r="F22" s="17">
        <v>23600</v>
      </c>
      <c r="G22" s="25">
        <v>0.73339798826261249</v>
      </c>
      <c r="H22" s="25">
        <v>0.47254380679735802</v>
      </c>
      <c r="I22" s="25" t="str">
        <v/>
      </c>
      <c r="J22" s="25">
        <v>9.1106200225159487E-2</v>
      </c>
      <c r="K22" s="17">
        <v>50350</v>
      </c>
      <c r="L22" s="25">
        <v>5.8201544685546155E-2</v>
      </c>
      <c r="M22" s="25" t="str">
        <v/>
      </c>
    </row>
    <row r="23" spans="1:13" ht="14.25" customHeight="1" x14ac:dyDescent="0.4">
      <c r="A23" s="34" t="s">
        <v>25</v>
      </c>
      <c r="B23" s="35">
        <f>LARGE(NIFTY_Option[PE VOL], 2) - LARGE(NIFTY_Option[CE VOL], 2)</f>
        <v>-4790387</v>
      </c>
      <c r="C23" s="35">
        <f>LARGE(BANKNIFTY_Option[PE VOL], 2) - LARGE(BANKNIFTY_Option[CE VOL], 2)</f>
        <v>-6593</v>
      </c>
      <c r="D23" s="25">
        <v>0.36977499976033207</v>
      </c>
      <c r="E23" s="25">
        <v>0.51141920360600657</v>
      </c>
      <c r="F23" s="17">
        <v>23550</v>
      </c>
      <c r="G23" s="25">
        <v>1</v>
      </c>
      <c r="H23" s="25">
        <v>1</v>
      </c>
      <c r="I23" s="25" t="str">
        <v/>
      </c>
      <c r="J23" s="25">
        <v>0.37330609181503566</v>
      </c>
      <c r="K23" s="17">
        <v>50250</v>
      </c>
      <c r="L23" s="25">
        <v>6.2247149687385067E-2</v>
      </c>
      <c r="M23" s="25" t="str">
        <v/>
      </c>
    </row>
    <row r="24" spans="1:13" ht="14.25" customHeight="1" x14ac:dyDescent="0.4">
      <c r="A24" s="31"/>
      <c r="B24" s="31"/>
      <c r="D24" s="25">
        <v>1</v>
      </c>
      <c r="E24" s="25">
        <v>1</v>
      </c>
      <c r="F24" s="17">
        <v>23500</v>
      </c>
      <c r="G24" s="25">
        <v>0.55718336081120279</v>
      </c>
      <c r="H24" s="25">
        <v>0.31409045367536848</v>
      </c>
      <c r="I24" s="25" t="str">
        <v/>
      </c>
      <c r="J24" s="25">
        <v>5.3120960680482006E-2</v>
      </c>
      <c r="K24" s="17">
        <v>50150</v>
      </c>
      <c r="L24" s="25">
        <v>3.5858771607208531E-2</v>
      </c>
      <c r="M24" s="25" t="str">
        <v/>
      </c>
    </row>
    <row r="25" spans="1:13" x14ac:dyDescent="0.4">
      <c r="A25" s="6"/>
      <c r="B25" s="36"/>
      <c r="C25" s="36"/>
      <c r="D25" s="25" t="str">
        <v/>
      </c>
      <c r="E25" s="25">
        <v>0.37146992785003347</v>
      </c>
      <c r="F25" s="17">
        <v>23450</v>
      </c>
      <c r="G25" s="25">
        <v>8.5761498132266883E-2</v>
      </c>
      <c r="H25" s="25" t="str">
        <v/>
      </c>
      <c r="I25" s="25">
        <v>1</v>
      </c>
      <c r="J25" s="25">
        <v>1</v>
      </c>
      <c r="K25" s="17">
        <v>50050</v>
      </c>
      <c r="L25" s="25">
        <v>0.42396101507907319</v>
      </c>
      <c r="M25" s="25">
        <v>0.25886630506049951</v>
      </c>
    </row>
    <row r="26" spans="1:13" x14ac:dyDescent="0.4">
      <c r="A26" s="6"/>
      <c r="B26" s="36"/>
      <c r="D26" s="25" t="str">
        <v/>
      </c>
      <c r="E26" s="25">
        <v>0.26708017391651906</v>
      </c>
      <c r="F26" s="17">
        <v>23400</v>
      </c>
      <c r="G26" s="25">
        <v>4.1012810884224871E-2</v>
      </c>
      <c r="H26" s="25" t="str">
        <v/>
      </c>
      <c r="I26" s="25" t="str">
        <v/>
      </c>
      <c r="J26" s="25">
        <v>3.277321436017179E-2</v>
      </c>
      <c r="K26" s="17">
        <v>49950</v>
      </c>
      <c r="L26" s="25">
        <v>3.8617138653916881E-3</v>
      </c>
      <c r="M26" s="25" t="str">
        <v/>
      </c>
    </row>
    <row r="27" spans="1:13" x14ac:dyDescent="0.4">
      <c r="D27" s="25" t="str">
        <v/>
      </c>
      <c r="E27" s="25">
        <v>0.17417982294787204</v>
      </c>
      <c r="F27" s="17">
        <v>23350</v>
      </c>
      <c r="G27" s="25">
        <v>6.3687090589166434E-3</v>
      </c>
      <c r="H27" s="25" t="str">
        <v/>
      </c>
      <c r="I27" s="25" t="str">
        <v/>
      </c>
      <c r="J27" s="25">
        <v>3.5191594045782426E-2</v>
      </c>
      <c r="K27" s="17">
        <v>49850</v>
      </c>
      <c r="L27" s="25">
        <v>1.1033468186833395E-3</v>
      </c>
      <c r="M27" s="25" t="str">
        <v/>
      </c>
    </row>
    <row r="28" spans="1:13" x14ac:dyDescent="0.4">
      <c r="D28" s="25" t="str">
        <v/>
      </c>
      <c r="E28" s="25">
        <v>0.18808272997256484</v>
      </c>
      <c r="F28" s="17">
        <v>23300</v>
      </c>
      <c r="G28" s="25">
        <v>6.2463487612276986E-3</v>
      </c>
      <c r="H28" s="25" t="str">
        <v/>
      </c>
      <c r="I28" s="25" t="str">
        <v/>
      </c>
      <c r="J28" s="25">
        <v>1.3175999666430389E-2</v>
      </c>
      <c r="K28" s="17">
        <v>49750</v>
      </c>
      <c r="L28" s="25">
        <v>0</v>
      </c>
      <c r="M28" s="25" t="str">
        <v/>
      </c>
    </row>
    <row r="29" spans="1:13" x14ac:dyDescent="0.4">
      <c r="D29" s="25" t="str">
        <v/>
      </c>
      <c r="E29" s="25">
        <v>9.9581857828565504E-2</v>
      </c>
      <c r="F29" s="17">
        <v>23250</v>
      </c>
      <c r="G29" s="25">
        <v>8.3558780963333959E-4</v>
      </c>
      <c r="H29" s="25" t="str">
        <v/>
      </c>
      <c r="I29" s="25" t="str">
        <v/>
      </c>
      <c r="J29" s="25">
        <v>1.5135721135804529E-2</v>
      </c>
      <c r="K29" s="17">
        <v>49650</v>
      </c>
      <c r="L29" s="25">
        <v>8.2751011401250457E-4</v>
      </c>
      <c r="M29" s="25" t="str">
        <v/>
      </c>
    </row>
    <row r="30" spans="1:13" x14ac:dyDescent="0.4">
      <c r="D30" s="25" t="str">
        <v/>
      </c>
      <c r="E30" s="25">
        <v>0.11718844249464991</v>
      </c>
      <c r="F30" s="17">
        <v>23200</v>
      </c>
      <c r="G30" s="25">
        <v>9.9503779242764872E-4</v>
      </c>
      <c r="H30" s="25" t="str">
        <v/>
      </c>
      <c r="I30" s="25" t="str">
        <v/>
      </c>
      <c r="J30" s="25">
        <v>0.34470249760246841</v>
      </c>
      <c r="K30" s="17">
        <v>49550</v>
      </c>
      <c r="L30" s="25">
        <v>2.9974255240897387E-2</v>
      </c>
      <c r="M30" s="25" t="str">
        <v/>
      </c>
    </row>
    <row r="31" spans="1:13" x14ac:dyDescent="0.4">
      <c r="D31" s="25" t="str">
        <v/>
      </c>
      <c r="E31" s="25">
        <v>6.3696418453480536E-2</v>
      </c>
      <c r="F31" s="17">
        <v>23150</v>
      </c>
      <c r="G31" s="25">
        <v>1.235193503484879E-4</v>
      </c>
      <c r="H31" s="25" t="str">
        <v/>
      </c>
      <c r="I31" s="25" t="str">
        <v/>
      </c>
      <c r="J31" s="25">
        <v>1.5010632531376391E-3</v>
      </c>
      <c r="K31" s="17">
        <v>49450</v>
      </c>
      <c r="L31" s="25">
        <v>0</v>
      </c>
      <c r="M31" s="25" t="str">
        <v/>
      </c>
    </row>
    <row r="32" spans="1:13" x14ac:dyDescent="0.4">
      <c r="D32" s="25" t="str">
        <v/>
      </c>
      <c r="E32" s="25">
        <v>6.9267134455978888E-2</v>
      </c>
      <c r="F32" s="17">
        <v>23100</v>
      </c>
      <c r="G32" s="25">
        <v>2.2562297386450374E-4</v>
      </c>
      <c r="H32" s="25" t="str">
        <v/>
      </c>
      <c r="I32" s="25" t="str">
        <v/>
      </c>
      <c r="J32" s="25">
        <v>1.1257974398532294E-3</v>
      </c>
      <c r="K32" s="17">
        <v>49350</v>
      </c>
      <c r="L32" s="25">
        <v>1.8389113644722325E-4</v>
      </c>
      <c r="M32" s="25" t="str">
        <v/>
      </c>
    </row>
    <row r="33" spans="4:13" x14ac:dyDescent="0.4">
      <c r="D33" s="25" t="str">
        <v/>
      </c>
      <c r="E33" s="25">
        <v>4.378141766113413E-2</v>
      </c>
      <c r="F33" s="17">
        <v>23050</v>
      </c>
      <c r="G33" s="25">
        <v>3.2275158673417509E-5</v>
      </c>
      <c r="H33" s="25" t="str">
        <v/>
      </c>
      <c r="I33" s="25" t="str">
        <v/>
      </c>
      <c r="J33" s="25">
        <v>5.2537213859817373E-3</v>
      </c>
      <c r="K33" s="17">
        <v>49250</v>
      </c>
      <c r="L33" s="25">
        <v>6.4361897756528132E-4</v>
      </c>
      <c r="M33" s="25" t="str">
        <v/>
      </c>
    </row>
    <row r="34" spans="4:13" x14ac:dyDescent="0.4">
      <c r="D34" s="25" t="str">
        <v/>
      </c>
      <c r="E34" s="25">
        <v>0.10775860540276108</v>
      </c>
      <c r="F34" s="17">
        <v>23000</v>
      </c>
      <c r="G34" s="25">
        <v>5.6980811901052853E-4</v>
      </c>
      <c r="H34" s="25" t="str">
        <v/>
      </c>
      <c r="I34" s="25" t="str">
        <v/>
      </c>
      <c r="J34" s="25">
        <v>7.9222782804486515E-4</v>
      </c>
      <c r="K34" s="17">
        <v>49150</v>
      </c>
      <c r="L34" s="25">
        <v>0</v>
      </c>
      <c r="M34" s="25" t="str">
        <v/>
      </c>
    </row>
    <row r="35" spans="4:13" x14ac:dyDescent="0.4">
      <c r="D35" s="25" t="str">
        <v/>
      </c>
      <c r="E35" s="25">
        <v>3.2553995663627412E-2</v>
      </c>
      <c r="F35" s="17">
        <v>22950</v>
      </c>
      <c r="G35" s="25">
        <v>6.5976843697041325E-6</v>
      </c>
      <c r="H35" s="25" t="str">
        <v/>
      </c>
      <c r="I35" s="25">
        <v>0.81318278913640529</v>
      </c>
      <c r="J35" s="25">
        <v>0.62527623733477877</v>
      </c>
      <c r="K35" s="17">
        <v>49050</v>
      </c>
      <c r="L35" s="25">
        <v>5.8063626333210737E-2</v>
      </c>
      <c r="M35" s="25" t="str">
        <v/>
      </c>
    </row>
    <row r="36" spans="4:13" x14ac:dyDescent="0.4">
      <c r="D36" s="25" t="str">
        <v/>
      </c>
      <c r="E36" s="25">
        <v>3.9865213853311487E-2</v>
      </c>
      <c r="F36" s="17">
        <v>22900</v>
      </c>
      <c r="G36" s="25">
        <v>6.6155159490817113E-6</v>
      </c>
      <c r="H36" s="25" t="str">
        <v/>
      </c>
      <c r="I36" s="25" t="str">
        <v/>
      </c>
      <c r="J36" s="25">
        <v>2.4600758870866866E-3</v>
      </c>
      <c r="K36" s="17">
        <v>48950</v>
      </c>
      <c r="L36" s="25">
        <v>0</v>
      </c>
      <c r="M36" s="25" t="str">
        <v/>
      </c>
    </row>
    <row r="37" spans="4:13" x14ac:dyDescent="0.4">
      <c r="D37" s="25" t="str">
        <v/>
      </c>
      <c r="E37" s="25">
        <v>1.9189644947180191E-2</v>
      </c>
      <c r="F37" s="17">
        <v>22850</v>
      </c>
      <c r="G37" s="25">
        <v>1.8544842552681886E-6</v>
      </c>
      <c r="H37" s="25" t="str">
        <v/>
      </c>
      <c r="I37" s="25" t="str">
        <v/>
      </c>
      <c r="J37" s="25">
        <v>0</v>
      </c>
      <c r="K37" s="17">
        <v>48850</v>
      </c>
      <c r="L37" s="25">
        <v>0</v>
      </c>
      <c r="M37" s="25" t="str">
        <v/>
      </c>
    </row>
    <row r="38" spans="4:13" x14ac:dyDescent="0.4">
      <c r="D38" s="25" t="str">
        <v/>
      </c>
      <c r="E38" s="25">
        <v>3.5759494294402151E-2</v>
      </c>
      <c r="F38" s="17">
        <v>22800</v>
      </c>
      <c r="G38" s="25">
        <v>5.4742948689166716E-6</v>
      </c>
      <c r="H38" s="25" t="str">
        <v/>
      </c>
      <c r="I38" s="25" t="str">
        <v/>
      </c>
      <c r="J38" s="25">
        <v>4.1696201476045533E-4</v>
      </c>
      <c r="K38" s="17">
        <v>48750</v>
      </c>
      <c r="L38" s="25">
        <v>2.7583670467083487E-4</v>
      </c>
      <c r="M38" s="25" t="str">
        <v/>
      </c>
    </row>
    <row r="39" spans="4:13" x14ac:dyDescent="0.4">
      <c r="D39" s="25" t="str">
        <v/>
      </c>
      <c r="E39" s="25">
        <v>1.0951634780939438E-2</v>
      </c>
      <c r="F39" s="17">
        <v>22750</v>
      </c>
      <c r="G39" s="25">
        <v>1.0342316038995667E-6</v>
      </c>
      <c r="H39" s="25" t="str">
        <v/>
      </c>
      <c r="I39" s="25" t="str">
        <v/>
      </c>
      <c r="J39" s="25">
        <v>1.2508860442813659E-4</v>
      </c>
      <c r="K39" s="17">
        <v>48650</v>
      </c>
      <c r="L39" s="25">
        <v>0</v>
      </c>
      <c r="M39" s="25" t="str">
        <v/>
      </c>
    </row>
    <row r="40" spans="4:13" x14ac:dyDescent="0.4">
      <c r="D40" s="25" t="str">
        <v/>
      </c>
      <c r="E40" s="25">
        <v>1.7124041478982836E-2</v>
      </c>
      <c r="F40" s="17">
        <v>22700</v>
      </c>
      <c r="G40" s="25">
        <v>1.0698947626547243E-6</v>
      </c>
      <c r="H40" s="25" t="str">
        <v/>
      </c>
      <c r="I40" s="25" t="str">
        <v/>
      </c>
      <c r="J40" s="25">
        <v>0.26439561355960473</v>
      </c>
      <c r="K40" s="17">
        <v>48550</v>
      </c>
      <c r="L40" s="25">
        <v>5.9764619345347553E-4</v>
      </c>
      <c r="M40" s="25" t="str">
        <v/>
      </c>
    </row>
    <row r="41" spans="4:13" x14ac:dyDescent="0.4">
      <c r="D41" s="25" t="str">
        <v/>
      </c>
      <c r="E41" s="25">
        <v>7.6435533260394307E-3</v>
      </c>
      <c r="F41" s="17">
        <v>22650</v>
      </c>
      <c r="G41" s="25">
        <v>1.1412210801650391E-6</v>
      </c>
      <c r="H41" s="25" t="str">
        <v/>
      </c>
      <c r="I41" s="25" t="str">
        <v/>
      </c>
      <c r="J41" s="25">
        <v>2.5017720885627318E-4</v>
      </c>
      <c r="K41" s="17">
        <v>48450</v>
      </c>
      <c r="L41" s="25">
        <v>2.2986392055902906E-4</v>
      </c>
      <c r="M41" s="25" t="str">
        <v/>
      </c>
    </row>
    <row r="42" spans="4:13" x14ac:dyDescent="0.4">
      <c r="D42" s="25" t="str">
        <v/>
      </c>
      <c r="E42" s="25">
        <v>1.4278631219461942E-2</v>
      </c>
      <c r="F42" s="17">
        <v>22600</v>
      </c>
      <c r="G42" s="25">
        <v>4.6362106381704714E-7</v>
      </c>
      <c r="H42" s="25" t="str">
        <v/>
      </c>
      <c r="I42" s="25" t="str">
        <v/>
      </c>
      <c r="J42" s="25">
        <v>0</v>
      </c>
      <c r="K42" s="17">
        <v>48350</v>
      </c>
      <c r="L42" s="25">
        <v>2.7583670467083487E-4</v>
      </c>
      <c r="M42" s="25" t="str">
        <v/>
      </c>
    </row>
    <row r="43" spans="4:13" x14ac:dyDescent="0.4">
      <c r="D43" s="25" t="str">
        <v/>
      </c>
      <c r="E43" s="25">
        <v>5.8263919753181979E-3</v>
      </c>
      <c r="F43" s="17">
        <v>22550</v>
      </c>
      <c r="G43" s="25">
        <v>5.5277896070494078E-7</v>
      </c>
      <c r="H43" s="25" t="str">
        <v/>
      </c>
      <c r="I43" s="25" t="str">
        <v/>
      </c>
      <c r="J43" s="25">
        <v>1.0590835174915565E-2</v>
      </c>
      <c r="K43" s="17">
        <v>48250</v>
      </c>
      <c r="L43" s="25">
        <v>3.677822728944465E-4</v>
      </c>
      <c r="M43" s="25" t="str">
        <v/>
      </c>
    </row>
    <row r="44" spans="4:13" x14ac:dyDescent="0.4">
      <c r="E44" s="15"/>
      <c r="G44" s="15"/>
    </row>
  </sheetData>
  <mergeCells count="2">
    <mergeCell ref="E1:G1"/>
    <mergeCell ref="J1:L1"/>
  </mergeCells>
  <phoneticPr fontId="10" type="noConversion"/>
  <conditionalFormatting sqref="E4:E44">
    <cfRule type="expression" dxfId="58" priority="17">
      <formula>AND(E4=LARGE($E:$E,4), E4&gt;0.4)</formula>
    </cfRule>
    <cfRule type="expression" dxfId="57" priority="60">
      <formula>OR(AND(E4=LARGE($E:$E,1), E4*0.8&lt;=LARGE($E:$E,2)), AND(E4=LARGE($E:$E,2), E4&gt;=LARGE($E:$E,1)*0.8))</formula>
    </cfRule>
    <cfRule type="expression" dxfId="56" priority="61">
      <formula>E4=LARGE($E:$E,3)</formula>
    </cfRule>
    <cfRule type="expression" dxfId="55" priority="62">
      <formula>E4=LARGE($E:$E,2)</formula>
    </cfRule>
    <cfRule type="top10" dxfId="54" priority="63" rank="1"/>
  </conditionalFormatting>
  <conditionalFormatting sqref="G4:G44">
    <cfRule type="expression" dxfId="53" priority="16">
      <formula>AND(G4=LARGE($G:$G,4), G4&gt;0.4)</formula>
    </cfRule>
    <cfRule type="expression" dxfId="52" priority="55">
      <formula>OR(AND(G4=LARGE($G:$G,1), G4*0.8&lt;=LARGE($G:$G,2)), AND(G4=LARGE($G:$G,2), G4&gt;=LARGE($G:$G,1)*0.8))</formula>
    </cfRule>
    <cfRule type="expression" dxfId="51" priority="56">
      <formula>G4=LARGE($G:$G,3)</formula>
    </cfRule>
    <cfRule type="expression" dxfId="50" priority="57">
      <formula>G4=LARGE($G:$G,2)</formula>
    </cfRule>
    <cfRule type="top10" dxfId="49" priority="58" rank="1"/>
  </conditionalFormatting>
  <conditionalFormatting sqref="J4:J43">
    <cfRule type="expression" dxfId="48" priority="15">
      <formula>AND(J4=LARGE($J:$J,4), J4&gt;0.4)</formula>
    </cfRule>
    <cfRule type="expression" dxfId="47" priority="49">
      <formula>OR(AND(J4=LARGE($J:$J,1), J4*0.8&lt;=LARGE($J:$J,2)), AND(J4=LARGE($J:$J,2), J4&gt;=LARGE($J:$J,1)*0.8))</formula>
    </cfRule>
    <cfRule type="expression" dxfId="46" priority="50">
      <formula>J4=LARGE($J:$J,3)</formula>
    </cfRule>
    <cfRule type="expression" dxfId="45" priority="51">
      <formula>J4=LARGE($J:$J,2)</formula>
    </cfRule>
    <cfRule type="top10" dxfId="44" priority="52" rank="1"/>
  </conditionalFormatting>
  <conditionalFormatting sqref="L4:L43">
    <cfRule type="expression" dxfId="43" priority="14">
      <formula>AND(L4=LARGE($L:$L,4), L4&gt;0.4)</formula>
    </cfRule>
    <cfRule type="expression" dxfId="42" priority="44">
      <formula>OR(AND(L4=LARGE($L:$L,1), L4*0.8&lt;=LARGE($L:$L,2)), AND(L4=LARGE($L:$L,2), L4&gt;=LARGE($L:$L,1)*0.8))</formula>
    </cfRule>
    <cfRule type="expression" dxfId="41" priority="45">
      <formula>L4=LARGE($L:$L,3)</formula>
    </cfRule>
    <cfRule type="expression" dxfId="40" priority="46">
      <formula>L4=LARGE($L:$L,2)</formula>
    </cfRule>
    <cfRule type="top10" dxfId="39" priority="47" rank="1"/>
  </conditionalFormatting>
  <conditionalFormatting sqref="H4:H43">
    <cfRule type="expression" dxfId="38" priority="34">
      <formula>H4=LARGE($H:$H,3)</formula>
    </cfRule>
    <cfRule type="expression" dxfId="37" priority="35">
      <formula>H4=LARGE($H:$H,2)</formula>
    </cfRule>
  </conditionalFormatting>
  <conditionalFormatting sqref="H4:H43">
    <cfRule type="top10" dxfId="36" priority="36" rank="1"/>
  </conditionalFormatting>
  <conditionalFormatting sqref="D4:D43">
    <cfRule type="expression" dxfId="35" priority="24">
      <formula>D4=LARGE($D:$D,3)</formula>
    </cfRule>
    <cfRule type="expression" dxfId="34" priority="25">
      <formula>D4=LARGE($D:$D,2)</formula>
    </cfRule>
  </conditionalFormatting>
  <conditionalFormatting sqref="I4:I43">
    <cfRule type="expression" dxfId="33" priority="21">
      <formula>I4=LARGE($I:$I,3)</formula>
    </cfRule>
    <cfRule type="expression" dxfId="32" priority="22">
      <formula>I4=LARGE($I:$I,2)</formula>
    </cfRule>
  </conditionalFormatting>
  <conditionalFormatting sqref="I4:I43">
    <cfRule type="top10" dxfId="31" priority="23" rank="1"/>
  </conditionalFormatting>
  <conditionalFormatting sqref="M4:M43">
    <cfRule type="expression" dxfId="30" priority="18">
      <formula>M4=LARGE($M:$M, 3)</formula>
    </cfRule>
    <cfRule type="expression" dxfId="29" priority="19">
      <formula>M4=LARGE($M:$M, 2)</formula>
    </cfRule>
  </conditionalFormatting>
  <conditionalFormatting sqref="M4:M43">
    <cfRule type="top10" dxfId="28" priority="20" rank="1"/>
  </conditionalFormatting>
  <conditionalFormatting sqref="D4:D43">
    <cfRule type="top10" dxfId="27" priority="207" rank="1"/>
  </conditionalFormatting>
  <conditionalFormatting sqref="B21:C23">
    <cfRule type="cellIs" dxfId="26" priority="1" operator="greaterThan">
      <formula>0</formula>
    </cfRule>
    <cfRule type="cellIs" dxfId="25" priority="2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4" operator="equal" id="{4FF6A938-45E5-4D4D-B7FE-7ABD9130205F}">
            <xm:f>'Cookies And Miscellaneous'!$D$15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F4:F43</xm:sqref>
        </x14:conditionalFormatting>
        <x14:conditionalFormatting xmlns:xm="http://schemas.microsoft.com/office/excel/2006/main">
          <x14:cfRule type="cellIs" priority="43" operator="equal" id="{0421ED1B-4047-4EEC-BC31-42262DE29E6C}">
            <xm:f>'Cookies And Miscellaneous'!$D$20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K4:K43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8A8810-C415-4715-B5CB-6014C2DA96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Cookies And Miscellaneous</vt:lpstr>
      <vt:lpstr>BankNifty</vt:lpstr>
      <vt:lpstr>FIN</vt:lpstr>
      <vt:lpstr>Nifty</vt:lpstr>
      <vt:lpstr>Nifty &amp; BNF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Vasu Patel</dc:creator>
  <cp:lastModifiedBy>Vasu Patel</cp:lastModifiedBy>
  <dcterms:created xsi:type="dcterms:W3CDTF">2024-01-06T19:59:37Z</dcterms:created>
  <dcterms:modified xsi:type="dcterms:W3CDTF">2024-11-15T01:16:05Z</dcterms:modified>
</cp:coreProperties>
</file>